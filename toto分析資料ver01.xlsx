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"/>
    </mc:Choice>
  </mc:AlternateContent>
  <xr:revisionPtr revIDLastSave="0" documentId="13_ncr:1_{EFBB7B33-2BB5-3940-ACA7-7F0C423BE2D6}" xr6:coauthVersionLast="47" xr6:coauthVersionMax="47" xr10:uidLastSave="{00000000-0000-0000-0000-000000000000}"/>
  <bookViews>
    <workbookView xWindow="1460" yWindow="3320" windowWidth="27840" windowHeight="19580" xr2:uid="{478BB414-ABAD-364A-AEBE-6E759529BBE5}"/>
  </bookViews>
  <sheets>
    <sheet name="的中の推移_2026_27シーズン" sheetId="1" r:id="rId1"/>
    <sheet name="的中の推移_２０２６特殊シーズ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22" i="2"/>
  <c r="G21" i="2"/>
  <c r="F21" i="2"/>
  <c r="G20" i="2"/>
  <c r="F20" i="2"/>
  <c r="G19" i="2"/>
  <c r="F19" i="2"/>
  <c r="F18" i="2"/>
  <c r="G17" i="2"/>
  <c r="F17" i="2"/>
  <c r="F16" i="2"/>
  <c r="O15" i="2"/>
  <c r="F15" i="2"/>
  <c r="G14" i="2"/>
  <c r="F14" i="2"/>
  <c r="F13" i="2"/>
  <c r="F12" i="2"/>
  <c r="F11" i="2"/>
  <c r="G10" i="2"/>
  <c r="F10" i="2"/>
  <c r="F9" i="2"/>
  <c r="G8" i="2"/>
  <c r="F8" i="2"/>
  <c r="G7" i="2"/>
  <c r="F7" i="2"/>
  <c r="G6" i="2"/>
  <c r="F6" i="2"/>
  <c r="G5" i="2"/>
  <c r="F5" i="2"/>
  <c r="G4" i="2"/>
</calcChain>
</file>

<file path=xl/sharedStrings.xml><?xml version="1.0" encoding="utf-8"?>
<sst xmlns="http://schemas.openxmlformats.org/spreadsheetml/2006/main" count="173" uniqueCount="95">
  <si>
    <t>第1節</t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</si>
  <si>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</si>
  <si>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</si>
  <si>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</si>
  <si>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</si>
  <si>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</si>
  <si>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</si>
  <si>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</si>
  <si>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</si>
  <si>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</si>
  <si>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</si>
  <si>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</si>
  <si>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</si>
  <si>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</si>
  <si>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</si>
  <si>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第16節</t>
  </si>
  <si>
    <t>第17節</t>
  </si>
  <si>
    <t>第18節</t>
  </si>
  <si>
    <t>欠場情報未実装、購入パターンは思想ナシ・重なりアリ、基礎情報の欠落アリ</t>
    <rPh sb="0" eb="4">
      <t>ケツジョウ</t>
    </rPh>
    <rPh sb="4" eb="7">
      <t xml:space="preserve">ミジッソウ </t>
    </rPh>
    <rPh sb="8" eb="10">
      <t xml:space="preserve">コウニュウ </t>
    </rPh>
    <rPh sb="15" eb="17">
      <t xml:space="preserve">シソウ </t>
    </rPh>
    <rPh sb="20" eb="21">
      <t xml:space="preserve">カサナリ </t>
    </rPh>
    <rPh sb="26" eb="28">
      <t xml:space="preserve">キソ </t>
    </rPh>
    <rPh sb="28" eb="30">
      <t xml:space="preserve">ジョウホウ </t>
    </rPh>
    <rPh sb="31" eb="33">
      <t xml:space="preserve">ケツラク </t>
    </rPh>
    <phoneticPr fontId="1"/>
  </si>
  <si>
    <t>システム開発の状況</t>
    <rPh sb="4" eb="6">
      <t xml:space="preserve">カイハツ </t>
    </rPh>
    <rPh sb="7" eb="9">
      <t xml:space="preserve">ジョウキョウ </t>
    </rPh>
    <phoneticPr fontId="1"/>
  </si>
  <si>
    <t>平均
的中率</t>
    <rPh sb="0" eb="2">
      <t>ヘイ</t>
    </rPh>
    <rPh sb="2" eb="5">
      <t xml:space="preserve">テキチュウリツ </t>
    </rPh>
    <phoneticPr fontId="1"/>
  </si>
  <si>
    <t>最高
的中数</t>
    <rPh sb="0" eb="2">
      <t xml:space="preserve">サイコウ </t>
    </rPh>
    <rPh sb="2" eb="4">
      <t>テ</t>
    </rPh>
    <rPh sb="4" eb="5">
      <t xml:space="preserve">スウ </t>
    </rPh>
    <phoneticPr fontId="1"/>
  </si>
  <si>
    <t>上記修正済み、欠場情報には情報不足の穴埋めアリ、予想にドロー出現の調整</t>
    <rPh sb="0" eb="2">
      <t xml:space="preserve">ジョウキ </t>
    </rPh>
    <rPh sb="2" eb="4">
      <t xml:space="preserve">シュウセイ </t>
    </rPh>
    <rPh sb="4" eb="5">
      <t xml:space="preserve">ズミ </t>
    </rPh>
    <rPh sb="7" eb="11">
      <t>ケツ</t>
    </rPh>
    <rPh sb="13" eb="15">
      <t>ジョウ</t>
    </rPh>
    <rPh sb="15" eb="17">
      <t xml:space="preserve">フソク </t>
    </rPh>
    <rPh sb="18" eb="20">
      <t xml:space="preserve">アナウメ </t>
    </rPh>
    <rPh sb="24" eb="26">
      <t xml:space="preserve">ヨソウ </t>
    </rPh>
    <rPh sb="30" eb="32">
      <t xml:space="preserve">シュツゲｎ </t>
    </rPh>
    <rPh sb="33" eb="35">
      <t xml:space="preserve">チョウセイ </t>
    </rPh>
    <phoneticPr fontId="1"/>
  </si>
  <si>
    <t>実験枠の弱さが未改善、ドロー対応が不確実で甘いまま。</t>
    <rPh sb="0" eb="3">
      <t xml:space="preserve">ジッケンワク </t>
    </rPh>
    <rPh sb="4" eb="5">
      <t xml:space="preserve">ヨワサ </t>
    </rPh>
    <rPh sb="7" eb="10">
      <t xml:space="preserve">ミカイゼン </t>
    </rPh>
    <rPh sb="14" eb="16">
      <t xml:space="preserve">タイオウ </t>
    </rPh>
    <rPh sb="17" eb="20">
      <t xml:space="preserve">フカクジツ </t>
    </rPh>
    <rPh sb="21" eb="22">
      <t xml:space="preserve">アマイ </t>
    </rPh>
    <phoneticPr fontId="1"/>
  </si>
  <si>
    <t>平均
的中数</t>
    <rPh sb="0" eb="2">
      <t>ヘイ</t>
    </rPh>
    <rPh sb="2" eb="5">
      <t xml:space="preserve">テキチュウリツ </t>
    </rPh>
    <rPh sb="5" eb="6">
      <t xml:space="preserve">スウ </t>
    </rPh>
    <phoneticPr fontId="1"/>
  </si>
  <si>
    <t>一般
評価</t>
    <rPh sb="0" eb="2">
      <t xml:space="preserve">イッパン </t>
    </rPh>
    <rPh sb="2" eb="4">
      <t xml:space="preserve">ヒョウカ </t>
    </rPh>
    <phoneticPr fontId="1"/>
  </si>
  <si>
    <t>大波乱</t>
    <rPh sb="0" eb="1">
      <t xml:space="preserve">ダイ </t>
    </rPh>
    <rPh sb="1" eb="3">
      <t xml:space="preserve">ハラン </t>
    </rPh>
    <phoneticPr fontId="1"/>
  </si>
  <si>
    <t>順当</t>
    <rPh sb="0" eb="2">
      <t xml:space="preserve">ジュントウ </t>
    </rPh>
    <phoneticPr fontId="1"/>
  </si>
  <si>
    <t>やや気味</t>
    <rPh sb="2" eb="4">
      <t xml:space="preserve">ギミ </t>
    </rPh>
    <phoneticPr fontId="1"/>
  </si>
  <si>
    <t>順当</t>
    <rPh sb="0" eb="1">
      <t xml:space="preserve">ジュントウ </t>
    </rPh>
    <phoneticPr fontId="1"/>
  </si>
  <si>
    <t>大波乱</t>
    <rPh sb="0" eb="1">
      <t xml:space="preserve">ダイハラｎ </t>
    </rPh>
    <phoneticPr fontId="1"/>
  </si>
  <si>
    <t>やや順当</t>
    <rPh sb="0" eb="2">
      <t>ヤヤ</t>
    </rPh>
    <rPh sb="2" eb="4">
      <t xml:space="preserve">ジュントウ </t>
    </rPh>
    <phoneticPr fontId="1"/>
  </si>
  <si>
    <t>＜的中率の推移と外観＞</t>
    <rPh sb="1" eb="4">
      <t>テキ</t>
    </rPh>
    <rPh sb="5" eb="7">
      <t xml:space="preserve">スイイト </t>
    </rPh>
    <rPh sb="8" eb="10">
      <t xml:space="preserve">ガイカン </t>
    </rPh>
    <phoneticPr fontId="1"/>
  </si>
  <si>
    <t>01の
的中数</t>
    <rPh sb="3" eb="5">
      <t xml:space="preserve">テキチュウ </t>
    </rPh>
    <rPh sb="5" eb="6">
      <t xml:space="preserve">スウ </t>
    </rPh>
    <phoneticPr fontId="1"/>
  </si>
  <si>
    <t>draw_boostをbuyplanに導入。予想強化とbuyplan強化を分担を明確にしながら。</t>
    <rPh sb="19" eb="21">
      <t xml:space="preserve">ドウニュウ </t>
    </rPh>
    <rPh sb="22" eb="24">
      <t xml:space="preserve">ヨソウ </t>
    </rPh>
    <rPh sb="24" eb="26">
      <t xml:space="preserve">キョウカ </t>
    </rPh>
    <rPh sb="34" eb="36">
      <t xml:space="preserve">キョウカ </t>
    </rPh>
    <rPh sb="37" eb="39">
      <t xml:space="preserve">ブンタン </t>
    </rPh>
    <rPh sb="40" eb="42">
      <t xml:space="preserve">メイカク </t>
    </rPh>
    <phoneticPr fontId="1"/>
  </si>
  <si>
    <t>01の
的中率</t>
    <rPh sb="3" eb="5">
      <t xml:space="preserve">テキチュウ </t>
    </rPh>
    <rPh sb="5" eb="6">
      <t xml:space="preserve">スウ </t>
    </rPh>
    <rPh sb="6" eb="7">
      <t xml:space="preserve">リツ </t>
    </rPh>
    <phoneticPr fontId="1"/>
  </si>
  <si>
    <t>ー</t>
    <phoneticPr fontId="1"/>
  </si>
  <si>
    <t>構築開始段階、購入無し</t>
    <rPh sb="0" eb="2">
      <t xml:space="preserve">コウチク </t>
    </rPh>
    <rPh sb="2" eb="4">
      <t xml:space="preserve">カイシ </t>
    </rPh>
    <rPh sb="4" eb="6">
      <t xml:space="preserve">ダンカイ </t>
    </rPh>
    <rPh sb="7" eb="9">
      <t xml:space="preserve">コウニュウ </t>
    </rPh>
    <rPh sb="9" eb="10">
      <t xml:space="preserve">ナシ </t>
    </rPh>
    <phoneticPr fontId="1"/>
  </si>
  <si>
    <t>システム開発60％程度の認識（当時）。購入決定システム分離ナシ</t>
    <rPh sb="4" eb="6">
      <t xml:space="preserve">カイハツ </t>
    </rPh>
    <rPh sb="12" eb="14">
      <t xml:space="preserve">ニンシキ </t>
    </rPh>
    <rPh sb="15" eb="17">
      <t xml:space="preserve">トウジ </t>
    </rPh>
    <rPh sb="19" eb="23">
      <t>コウｎ</t>
    </rPh>
    <rPh sb="27" eb="29">
      <t xml:space="preserve">ブンリ </t>
    </rPh>
    <phoneticPr fontId="1"/>
  </si>
  <si>
    <t>buyplan調整、完成度8割程度か。後は履歴・蓄積を反映アップデート予定の見込み。</t>
    <rPh sb="7" eb="9">
      <t xml:space="preserve">チョウセイ </t>
    </rPh>
    <rPh sb="10" eb="13">
      <t xml:space="preserve">カンセイド </t>
    </rPh>
    <rPh sb="14" eb="15">
      <t xml:space="preserve">ワリ </t>
    </rPh>
    <rPh sb="15" eb="17">
      <t xml:space="preserve">テイド </t>
    </rPh>
    <rPh sb="19" eb="20">
      <t xml:space="preserve">アト </t>
    </rPh>
    <rPh sb="21" eb="23">
      <t xml:space="preserve">リレキ </t>
    </rPh>
    <rPh sb="24" eb="26">
      <t xml:space="preserve">チクセキ </t>
    </rPh>
    <rPh sb="27" eb="29">
      <t xml:space="preserve">ハンエイ </t>
    </rPh>
    <rPh sb="35" eb="37">
      <t xml:space="preserve">ヨテイ </t>
    </rPh>
    <rPh sb="38" eb="40">
      <t xml:space="preserve">ミコミ </t>
    </rPh>
    <phoneticPr fontId="1"/>
  </si>
  <si>
    <t>平日開催、toto無し。シミュレーション機能導入。</t>
    <rPh sb="0" eb="2">
      <t xml:space="preserve">ヘイジツ </t>
    </rPh>
    <rPh sb="2" eb="4">
      <t xml:space="preserve">カイサイ </t>
    </rPh>
    <rPh sb="9" eb="10">
      <t xml:space="preserve">ナシ </t>
    </rPh>
    <rPh sb="20" eb="22">
      <t xml:space="preserve">キノウ </t>
    </rPh>
    <rPh sb="22" eb="24">
      <t xml:space="preserve">ドウニュウ </t>
    </rPh>
    <phoneticPr fontId="1"/>
  </si>
  <si>
    <t>経過</t>
    <rPh sb="0" eb="2">
      <t xml:space="preserve">ケイカ </t>
    </rPh>
    <phoneticPr fontId="1"/>
  </si>
  <si>
    <t>開発2週経過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</si>
  <si>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開発3週経過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</si>
  <si>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開発4週経過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</si>
  <si>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開発5週経過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</si>
  <si>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開発6週経過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</si>
  <si>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開発7週経過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</si>
  <si>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開発8週経過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</si>
  <si>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開発9週経過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</si>
  <si>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開発10週経過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</si>
  <si>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開発11週経過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</si>
  <si>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開発12週経過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</si>
  <si>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開発13週経過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</si>
  <si>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開発14週経過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</si>
  <si>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開発15週経過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</si>
  <si>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開発16週経過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</si>
  <si>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開発17週経過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</si>
  <si>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当選
個数</t>
    <rPh sb="0" eb="2">
      <t xml:space="preserve">トウセン </t>
    </rPh>
    <rPh sb="2" eb="4">
      <t xml:space="preserve">コスウ </t>
    </rPh>
    <phoneticPr fontId="1"/>
  </si>
  <si>
    <t>当選
等名</t>
    <rPh sb="0" eb="2">
      <t xml:space="preserve">トウセン </t>
    </rPh>
    <rPh sb="2" eb="3">
      <t xml:space="preserve">トウ </t>
    </rPh>
    <rPh sb="3" eb="4">
      <t xml:space="preserve">メイ </t>
    </rPh>
    <phoneticPr fontId="1"/>
  </si>
  <si>
    <t>mini toto
的中数</t>
    <phoneticPr fontId="1"/>
  </si>
  <si>
    <t>east順当・west波乱</t>
    <rPh sb="4" eb="6">
      <t xml:space="preserve">ジュントウ </t>
    </rPh>
    <rPh sb="11" eb="13">
      <t xml:space="preserve">ハラン </t>
    </rPh>
    <phoneticPr fontId="1"/>
  </si>
  <si>
    <t>toto回</t>
    <rPh sb="4" eb="5">
      <t xml:space="preserve">カイ </t>
    </rPh>
    <phoneticPr fontId="1"/>
  </si>
  <si>
    <t>J1回</t>
    <rPh sb="2" eb="3">
      <t xml:space="preserve">カイ </t>
    </rPh>
    <phoneticPr fontId="1"/>
  </si>
  <si>
    <t>予想を大幅調整、buyplan_caution版導入、今回は旧版で購入</t>
    <rPh sb="0" eb="2">
      <t xml:space="preserve">ヨソウ </t>
    </rPh>
    <rPh sb="3" eb="5">
      <t xml:space="preserve">オオハバ </t>
    </rPh>
    <rPh sb="5" eb="7">
      <t xml:space="preserve">チョウセイ </t>
    </rPh>
    <rPh sb="23" eb="24">
      <t xml:space="preserve">ハン </t>
    </rPh>
    <rPh sb="24" eb="26">
      <t xml:space="preserve">ドウニュウ </t>
    </rPh>
    <rPh sb="27" eb="29">
      <t xml:space="preserve">コンカイ </t>
    </rPh>
    <rPh sb="30" eb="32">
      <t xml:space="preserve">キュウバン </t>
    </rPh>
    <rPh sb="33" eb="35">
      <t xml:space="preserve">コウニュウ </t>
    </rPh>
    <phoneticPr fontId="1"/>
  </si>
  <si>
    <t>やや波乱</t>
    <rPh sb="2" eb="4">
      <t xml:space="preserve">ハラン </t>
    </rPh>
    <phoneticPr fontId="1"/>
  </si>
  <si>
    <t>「試合タイプ」の不完全仮実装。buyplan_caution版を見て、旧版で購入</t>
    <rPh sb="1" eb="3">
      <t xml:space="preserve">シアイ </t>
    </rPh>
    <rPh sb="8" eb="11">
      <t xml:space="preserve">フカンゼン </t>
    </rPh>
    <rPh sb="11" eb="12">
      <t xml:space="preserve">カリ </t>
    </rPh>
    <rPh sb="12" eb="14">
      <t xml:space="preserve">ジッソウ </t>
    </rPh>
    <rPh sb="32" eb="33">
      <t>_x0000__x0001__x0002_</t>
    </rPh>
    <phoneticPr fontId="1"/>
  </si>
  <si>
    <t>やや順当寄り</t>
    <phoneticPr fontId="1"/>
  </si>
  <si>
    <t>「試合タイプ」役割強化、予想の調整（D少ないため→かえって失敗）</t>
    <rPh sb="0" eb="2">
      <t>「</t>
    </rPh>
    <rPh sb="7" eb="9">
      <t xml:space="preserve">ヤクワリ </t>
    </rPh>
    <rPh sb="9" eb="11">
      <t xml:space="preserve">キョウカ </t>
    </rPh>
    <rPh sb="12" eb="14">
      <t xml:space="preserve">ヨソウ </t>
    </rPh>
    <rPh sb="15" eb="17">
      <t xml:space="preserve">チョウセイ </t>
    </rPh>
    <rPh sb="19" eb="20">
      <t xml:space="preserve">スクナイ </t>
    </rPh>
    <rPh sb="29" eb="31">
      <t xml:space="preserve">シッパイ </t>
    </rPh>
    <phoneticPr fontId="1"/>
  </si>
  <si>
    <t>例外対応記録</t>
    <rPh sb="0" eb="2">
      <t xml:space="preserve">レイガイ </t>
    </rPh>
    <rPh sb="2" eb="4">
      <t xml:space="preserve">タイオウ </t>
    </rPh>
    <rPh sb="4" eb="6">
      <t xml:space="preserve">キロク </t>
    </rPh>
    <phoneticPr fontId="1"/>
  </si>
  <si>
    <t>メモ</t>
    <phoneticPr fontId="1"/>
  </si>
  <si>
    <t>J3は平均3的中</t>
    <rPh sb="3" eb="5">
      <t xml:space="preserve">ヘイキン </t>
    </rPh>
    <rPh sb="6" eb="8">
      <t xml:space="preserve">テキチュウ </t>
    </rPh>
    <phoneticPr fontId="1"/>
  </si>
  <si>
    <t>荒れ気味</t>
    <rPh sb="0" eb="1">
      <t xml:space="preserve">アレギミ </t>
    </rPh>
    <phoneticPr fontId="1"/>
  </si>
  <si>
    <t>荒れ</t>
    <rPh sb="0" eb="2">
      <t xml:space="preserve">アレ </t>
    </rPh>
    <phoneticPr fontId="1"/>
  </si>
  <si>
    <t>大失敗</t>
    <rPh sb="0" eb="3">
      <t xml:space="preserve">ダイシッパイ </t>
    </rPh>
    <phoneticPr fontId="1"/>
  </si>
  <si>
    <t>やや荒れ〜中荒れ</t>
    <rPh sb="2" eb="3">
      <t xml:space="preserve">アレ </t>
    </rPh>
    <rPh sb="5" eb="6">
      <t xml:space="preserve">ナカ </t>
    </rPh>
    <rPh sb="6" eb="7">
      <t xml:space="preserve">アレ </t>
    </rPh>
    <phoneticPr fontId="1"/>
  </si>
  <si>
    <t>指標×指標を草案、未実装。</t>
    <rPh sb="0" eb="2">
      <t xml:space="preserve">シヒョウ </t>
    </rPh>
    <rPh sb="3" eb="5">
      <t xml:space="preserve">シヒョウ </t>
    </rPh>
    <rPh sb="6" eb="8">
      <t xml:space="preserve">ソウアン </t>
    </rPh>
    <rPh sb="9" eb="12">
      <t xml:space="preserve">ミジッソウ </t>
    </rPh>
    <phoneticPr fontId="1"/>
  </si>
  <si>
    <t>本命党が削られやすい波乱回</t>
    <rPh sb="0" eb="2">
      <t xml:space="preserve">ハラン </t>
    </rPh>
    <phoneticPr fontId="1"/>
  </si>
  <si>
    <t>eloとLABシミュレーション上乗せの2層構成に。（←似非だったと次節前判明）</t>
    <rPh sb="21" eb="23">
      <t xml:space="preserve">コウセイニ </t>
    </rPh>
    <rPh sb="27" eb="29">
      <t xml:space="preserve">エセ </t>
    </rPh>
    <rPh sb="33" eb="35">
      <t xml:space="preserve">ジセツ </t>
    </rPh>
    <rPh sb="35" eb="36">
      <t xml:space="preserve">マエ </t>
    </rPh>
    <rPh sb="36" eb="38">
      <t xml:space="preserve">ハンメイ </t>
    </rPh>
    <phoneticPr fontId="1"/>
  </si>
  <si>
    <r>
      <t>LBOデータを予想・購入で使用の様子見回。</t>
    </r>
    <r>
      <rPr>
        <sz val="12"/>
        <color rgb="FFFF0000"/>
        <rFont val="游ゴシック"/>
        <family val="3"/>
        <charset val="128"/>
      </rPr>
      <t>ACL都合でJ3が4試合</t>
    </r>
    <rPh sb="7" eb="9">
      <t xml:space="preserve">ヨソウ </t>
    </rPh>
    <rPh sb="10" eb="12">
      <t xml:space="preserve">コウニュウ </t>
    </rPh>
    <rPh sb="13" eb="15">
      <t xml:space="preserve">シヨウ </t>
    </rPh>
    <rPh sb="16" eb="19">
      <t xml:space="preserve">ヨウスミ </t>
    </rPh>
    <rPh sb="19" eb="20">
      <t xml:space="preserve">カイ </t>
    </rPh>
    <rPh sb="24" eb="26">
      <t xml:space="preserve">ツゴウ </t>
    </rPh>
    <rPh sb="31" eb="33">
      <t xml:space="preserve">シアイ </t>
    </rPh>
    <phoneticPr fontId="1"/>
  </si>
  <si>
    <t>中波乱〜やや波乱</t>
    <phoneticPr fontId="1"/>
  </si>
  <si>
    <t>eloベースプラスαとLABシミュレーション上乗せの2層構成（これも口先改修）</t>
    <rPh sb="34" eb="36">
      <t xml:space="preserve">クチサキ </t>
    </rPh>
    <rPh sb="36" eb="38">
      <t xml:space="preserve">カイシュウ </t>
    </rPh>
    <phoneticPr fontId="1"/>
  </si>
  <si>
    <t>大規模改修の６割程度。手動で揺らし購入含む8点。２点をbigに。</t>
    <rPh sb="0" eb="1">
      <t xml:space="preserve">ダイキボ </t>
    </rPh>
    <rPh sb="3" eb="5">
      <t xml:space="preserve">カイシュウ </t>
    </rPh>
    <rPh sb="7" eb="8">
      <t xml:space="preserve">ワリ </t>
    </rPh>
    <rPh sb="8" eb="10">
      <t xml:space="preserve">テイド </t>
    </rPh>
    <rPh sb="11" eb="13">
      <t xml:space="preserve">シュドウ </t>
    </rPh>
    <rPh sb="14" eb="15">
      <t xml:space="preserve">ユラシ </t>
    </rPh>
    <rPh sb="17" eb="19">
      <t xml:space="preserve">コウニュウ </t>
    </rPh>
    <rPh sb="19" eb="20">
      <t xml:space="preserve">フクム </t>
    </rPh>
    <rPh sb="22" eb="23">
      <t xml:space="preserve">テン </t>
    </rPh>
    <rPh sb="25" eb="26">
      <t xml:space="preserve">テン </t>
    </rPh>
    <phoneticPr fontId="1"/>
  </si>
  <si>
    <t>開発18週経過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</si>
  <si>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大順当</t>
    <rPh sb="0" eb="1">
      <t xml:space="preserve">ダイ </t>
    </rPh>
    <rPh sb="1" eb="3">
      <t xml:space="preserve">ジュントウ </t>
    </rPh>
    <phoneticPr fontId="1"/>
  </si>
  <si>
    <t>不審な購入候補で半分不採用。旧調整の多大な影響ありと後で判明・削除。ほぼノーカン</t>
    <rPh sb="0" eb="2">
      <t xml:space="preserve">フシン </t>
    </rPh>
    <rPh sb="3" eb="5">
      <t xml:space="preserve">コウニュウ </t>
    </rPh>
    <rPh sb="5" eb="7">
      <t xml:space="preserve">コウホ </t>
    </rPh>
    <rPh sb="8" eb="10">
      <t xml:space="preserve">ハンブン </t>
    </rPh>
    <rPh sb="10" eb="13">
      <t xml:space="preserve">フサイヨウ </t>
    </rPh>
    <rPh sb="14" eb="15">
      <t xml:space="preserve">キュウ </t>
    </rPh>
    <rPh sb="15" eb="17">
      <t xml:space="preserve">チョウセイ </t>
    </rPh>
    <rPh sb="18" eb="20">
      <t xml:space="preserve">タダイ </t>
    </rPh>
    <rPh sb="21" eb="23">
      <t xml:space="preserve">エイキョウ </t>
    </rPh>
    <rPh sb="26" eb="27">
      <t xml:space="preserve">アト </t>
    </rPh>
    <rPh sb="28" eb="30">
      <t xml:space="preserve">ハンメイ </t>
    </rPh>
    <rPh sb="31" eb="33">
      <t xml:space="preserve">サクジョ </t>
    </rPh>
    <phoneticPr fontId="1"/>
  </si>
  <si>
    <t>第19節</t>
  </si>
  <si>
    <t>第20節</t>
  </si>
  <si>
    <t>プレーオフ1</t>
    <phoneticPr fontId="1"/>
  </si>
  <si>
    <t>プレーオフ2</t>
  </si>
  <si>
    <t>0だらけを解消した筈が0多し。不信感あったが、事実0多い節だった。ただし検証を重ねる要の開発途上</t>
    <rPh sb="5" eb="7">
      <t xml:space="preserve">カイショウ </t>
    </rPh>
    <rPh sb="9" eb="10">
      <t xml:space="preserve">ハズ </t>
    </rPh>
    <rPh sb="12" eb="13">
      <t xml:space="preserve">オオシ </t>
    </rPh>
    <rPh sb="15" eb="18">
      <t xml:space="preserve">フシンカン </t>
    </rPh>
    <rPh sb="23" eb="25">
      <t xml:space="preserve">ジジツ </t>
    </rPh>
    <rPh sb="26" eb="27">
      <t xml:space="preserve">オオイ </t>
    </rPh>
    <rPh sb="28" eb="29">
      <t xml:space="preserve">セツ </t>
    </rPh>
    <rPh sb="36" eb="38">
      <t xml:space="preserve">ケンショウ </t>
    </rPh>
    <rPh sb="39" eb="40">
      <t xml:space="preserve">カサネル </t>
    </rPh>
    <rPh sb="42" eb="43">
      <t xml:space="preserve">ヨウ </t>
    </rPh>
    <rPh sb="44" eb="46">
      <t xml:space="preserve">カイハツ </t>
    </rPh>
    <rPh sb="46" eb="48">
      <t xml:space="preserve">トジョウ </t>
    </rPh>
    <phoneticPr fontId="1"/>
  </si>
  <si>
    <t>システム開発の状況メモ</t>
    <rPh sb="4" eb="6">
      <t xml:space="preserve">カイハツ </t>
    </rPh>
    <rPh sb="7" eb="9">
      <t xml:space="preserve">ジョウキョウ </t>
    </rPh>
    <phoneticPr fontId="1"/>
  </si>
  <si>
    <t>最高
的中率</t>
    <rPh sb="0" eb="2">
      <t xml:space="preserve">サイコウ </t>
    </rPh>
    <rPh sb="2" eb="4">
      <t>テ</t>
    </rPh>
    <rPh sb="4" eb="5">
      <t xml:space="preserve">スウ </t>
    </rPh>
    <rPh sb="5" eb="6">
      <t xml:space="preserve">リツ </t>
    </rPh>
    <phoneticPr fontId="1"/>
  </si>
  <si>
    <t>節の一般的評価</t>
    <rPh sb="0" eb="1">
      <t xml:space="preserve">セツ </t>
    </rPh>
    <rPh sb="2" eb="4">
      <t xml:space="preserve">イッパン </t>
    </rPh>
    <rPh sb="4" eb="5">
      <t xml:space="preserve">テキ </t>
    </rPh>
    <rPh sb="5" eb="7">
      <t xml:space="preserve">ヒョウカ </t>
    </rPh>
    <phoneticPr fontId="1"/>
  </si>
  <si>
    <t>やや波乱。ただし大荒れではない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</si>
</sst>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0"/>
    <numFmt numFmtId="178" formatCode="0.0%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  <font>
      <sz val="12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40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9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2" xfId="0" applyBorder="1" applyAlignment="1">
      <alignment horizontal="left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left" vertical="center" wrapText="1"/>
    </xf>
    <xf numFmtId="176" fontId="0" fillId="0" borderId="1" xfId="0" applyNumberFormat="1" applyBorder="1">
      <alignment vertical="center"/>
    </xf>
    <xf numFmtId="0" fontId="4" fillId="0" borderId="0" xfId="0" applyFont="1">
      <alignment vertical="center"/>
    </xf>
    <xf numFmtId="177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0" fontId="3" fillId="7" borderId="1" xfId="0" applyFont="1" applyFill="1" applyBorder="1">
      <alignment vertical="center"/>
    </xf>
    <xf numFmtId="176" fontId="0" fillId="8" borderId="1" xfId="0" applyNumberFormat="1" applyFill="1" applyBorder="1">
      <alignment vertical="center"/>
    </xf>
    <xf numFmtId="9" fontId="0" fillId="8" borderId="1" xfId="0" applyNumberFormat="1" applyFill="1" applyBorder="1">
      <alignment vertical="center"/>
    </xf>
    <xf numFmtId="176" fontId="6" fillId="8" borderId="1" xfId="0" applyNumberFormat="1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11" borderId="1" xfId="0" applyFill="1" applyBorder="1" applyAlignment="1">
      <alignment horizontal="left" vertical="center" wrapText="1"/>
    </xf>
    <xf numFmtId="178" fontId="0" fillId="0" borderId="1" xfId="0" applyNumberFormat="1" applyBorder="1">
      <alignment vertical="center"/>
    </xf>
    <xf numFmtId="176" fontId="0" fillId="12" borderId="1" xfId="0" applyNumberFormat="1" applyFill="1" applyBorder="1" applyAlignment="1">
      <alignment horizontal="left" vertical="center" wrapText="1"/>
    </xf>
    <xf numFmtId="9" fontId="0" fillId="10" borderId="1" xfId="0" applyNumberFormat="1" applyFill="1" applyBorder="1" applyAlignment="1">
      <alignment horizontal="left" vertical="center" wrapText="1"/>
    </xf>
    <xf numFmtId="178" fontId="0" fillId="8" borderId="1" xfId="0" applyNumberFormat="1" applyFill="1" applyBorder="1">
      <alignment vertical="center"/>
    </xf>
    <xf numFmtId="0" fontId="0" fillId="4" borderId="1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402"/>
      <color rgb="FFFFE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 u="sng"/>
              <a:t>的中数・的中率の推移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平均的中数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的中の推移_2026_27シーズン!$C$4:$C$23</c:f>
              <c:numCache>
                <c:formatCode>General</c:formatCode>
                <c:ptCount val="20"/>
                <c:pt idx="0">
                  <c:v>1644</c:v>
                </c:pt>
                <c:pt idx="1">
                  <c:v>1645</c:v>
                </c:pt>
                <c:pt idx="2">
                  <c:v>1646</c:v>
                </c:pt>
                <c:pt idx="3">
                  <c:v>1647</c:v>
                </c:pt>
                <c:pt idx="4">
                  <c:v>1648</c:v>
                </c:pt>
                <c:pt idx="5">
                  <c:v>1649</c:v>
                </c:pt>
                <c:pt idx="6">
                  <c:v>1650</c:v>
                </c:pt>
                <c:pt idx="7">
                  <c:v>1651</c:v>
                </c:pt>
                <c:pt idx="8">
                  <c:v>1652</c:v>
                </c:pt>
                <c:pt idx="9">
                  <c:v>1653</c:v>
                </c:pt>
                <c:pt idx="10">
                  <c:v>1654</c:v>
                </c:pt>
                <c:pt idx="11">
                  <c:v>1655</c:v>
                </c:pt>
                <c:pt idx="12">
                  <c:v>1656</c:v>
                </c:pt>
                <c:pt idx="13">
                  <c:v>1657</c:v>
                </c:pt>
                <c:pt idx="14">
                  <c:v>1658</c:v>
                </c:pt>
                <c:pt idx="15">
                  <c:v>1659</c:v>
                </c:pt>
                <c:pt idx="16">
                  <c:v>1660</c:v>
                </c:pt>
                <c:pt idx="17">
                  <c:v>1661</c:v>
                </c:pt>
                <c:pt idx="18">
                  <c:v>1662</c:v>
                </c:pt>
                <c:pt idx="19">
                  <c:v>1663</c:v>
                </c:pt>
              </c:numCache>
            </c:numRef>
          </c:cat>
          <c:val>
            <c:numRef>
              <c:f>的中の推移_2026_27シーズン!$D$4:$D$23</c:f>
              <c:numCache>
                <c:formatCode>0.0_);[Red]\(0.0\)</c:formatCode>
                <c:ptCount val="20"/>
                <c:pt idx="0">
                  <c:v>5.3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B-7642-B5A0-DEA54FD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322559"/>
        <c:axId val="394713215"/>
      </c:barChart>
      <c:lineChart>
        <c:grouping val="standard"/>
        <c:varyColors val="0"/>
        <c:ser>
          <c:idx val="1"/>
          <c:order val="1"/>
          <c:tx>
            <c:v>平均的中率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的中の推移_2026_27シーズン!$C$4:$C$23</c:f>
              <c:numCache>
                <c:formatCode>General</c:formatCode>
                <c:ptCount val="20"/>
                <c:pt idx="0">
                  <c:v>1644</c:v>
                </c:pt>
                <c:pt idx="1">
                  <c:v>1645</c:v>
                </c:pt>
                <c:pt idx="2">
                  <c:v>1646</c:v>
                </c:pt>
                <c:pt idx="3">
                  <c:v>1647</c:v>
                </c:pt>
                <c:pt idx="4">
                  <c:v>1648</c:v>
                </c:pt>
                <c:pt idx="5">
                  <c:v>1649</c:v>
                </c:pt>
                <c:pt idx="6">
                  <c:v>1650</c:v>
                </c:pt>
                <c:pt idx="7">
                  <c:v>1651</c:v>
                </c:pt>
                <c:pt idx="8">
                  <c:v>1652</c:v>
                </c:pt>
                <c:pt idx="9">
                  <c:v>1653</c:v>
                </c:pt>
                <c:pt idx="10">
                  <c:v>1654</c:v>
                </c:pt>
                <c:pt idx="11">
                  <c:v>1655</c:v>
                </c:pt>
                <c:pt idx="12">
                  <c:v>1656</c:v>
                </c:pt>
                <c:pt idx="13">
                  <c:v>1657</c:v>
                </c:pt>
                <c:pt idx="14">
                  <c:v>1658</c:v>
                </c:pt>
                <c:pt idx="15">
                  <c:v>1659</c:v>
                </c:pt>
                <c:pt idx="16">
                  <c:v>1660</c:v>
                </c:pt>
                <c:pt idx="17">
                  <c:v>1661</c:v>
                </c:pt>
                <c:pt idx="18">
                  <c:v>1662</c:v>
                </c:pt>
                <c:pt idx="19">
                  <c:v>1663</c:v>
                </c:pt>
              </c:numCache>
            </c:numRef>
          </c:cat>
          <c:val>
            <c:numRef>
              <c:f>的中の推移_2026_27シーズン!$E$4:$E$23</c:f>
              <c:numCache>
                <c:formatCode>0.0%</c:formatCode>
                <c:ptCount val="20"/>
                <c:pt idx="0">
                  <c:v>0.41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B-7642-B5A0-DEA54FD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63952"/>
        <c:axId val="58580000"/>
      </c:lineChart>
      <c:catAx>
        <c:axId val="3943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4713215"/>
        <c:crosses val="autoZero"/>
        <c:auto val="1"/>
        <c:lblAlgn val="ctr"/>
        <c:lblOffset val="100"/>
        <c:noMultiLvlLbl val="0"/>
      </c:catAx>
      <c:valAx>
        <c:axId val="394713215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4322559"/>
        <c:crosses val="autoZero"/>
        <c:crossBetween val="between"/>
        <c:majorUnit val="1"/>
      </c:valAx>
      <c:valAx>
        <c:axId val="58580000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463952"/>
        <c:crosses val="max"/>
        <c:crossBetween val="between"/>
      </c:valAx>
      <c:catAx>
        <c:axId val="5846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80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2"/>
      </a:solidFill>
      <a:round/>
    </a:ln>
    <a:effectLst>
      <a:outerShdw blurRad="76200" dist="141672" dir="2700000" algn="tl" rotWithShape="0">
        <a:prstClr val="black">
          <a:alpha val="30000"/>
        </a:prstClr>
      </a:outerShdw>
    </a:effectLst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的中の推移_２０２６特殊シーズン!$H$3</c:f>
              <c:strCache>
                <c:ptCount val="1"/>
                <c:pt idx="0">
                  <c:v>最高
的中数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的中の推移_２０２６特殊シーズン!$B$4:$B$23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的中の推移_２０２６特殊シーズン!$H$4:$H$23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0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6">
                  <c:v>3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4-1948-A1E6-0129D7494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6868767"/>
        <c:axId val="386480223"/>
      </c:barChart>
      <c:lineChart>
        <c:grouping val="standard"/>
        <c:varyColors val="0"/>
        <c:ser>
          <c:idx val="0"/>
          <c:order val="0"/>
          <c:tx>
            <c:strRef>
              <c:f>的中の推移_２０２６特殊シーズン!$I$3</c:f>
              <c:strCache>
                <c:ptCount val="1"/>
                <c:pt idx="0">
                  <c:v>平均
的中率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的中の推移_２０２６特殊シーズン!$B$4:$B$23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的中の推移_２０２６特殊シーズン!$I$4:$I$23</c:f>
              <c:numCache>
                <c:formatCode>0%</c:formatCode>
                <c:ptCount val="20"/>
                <c:pt idx="0">
                  <c:v>0.01</c:v>
                </c:pt>
                <c:pt idx="1">
                  <c:v>0.31540000000000001</c:v>
                </c:pt>
                <c:pt idx="2">
                  <c:v>0.377</c:v>
                </c:pt>
                <c:pt idx="3">
                  <c:v>0.1769</c:v>
                </c:pt>
                <c:pt idx="4">
                  <c:v>0.43</c:v>
                </c:pt>
                <c:pt idx="5">
                  <c:v>0.43</c:v>
                </c:pt>
                <c:pt idx="6">
                  <c:v>0.01</c:v>
                </c:pt>
                <c:pt idx="7">
                  <c:v>0.37</c:v>
                </c:pt>
                <c:pt idx="8">
                  <c:v>0.26</c:v>
                </c:pt>
                <c:pt idx="9">
                  <c:v>0.34599999999999997</c:v>
                </c:pt>
                <c:pt idx="10">
                  <c:v>0.376</c:v>
                </c:pt>
                <c:pt idx="11">
                  <c:v>0.44</c:v>
                </c:pt>
                <c:pt idx="12">
                  <c:v>0.01</c:v>
                </c:pt>
                <c:pt idx="13">
                  <c:v>0.28999999999999998</c:v>
                </c:pt>
                <c:pt idx="14">
                  <c:v>0.38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0.41499999999999998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4-1948-A1E6-0129D7494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937359"/>
        <c:axId val="1186939071"/>
      </c:lineChart>
      <c:catAx>
        <c:axId val="118693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9071"/>
        <c:crosses val="autoZero"/>
        <c:auto val="1"/>
        <c:lblAlgn val="ctr"/>
        <c:lblOffset val="100"/>
        <c:noMultiLvlLbl val="0"/>
      </c:catAx>
      <c:valAx>
        <c:axId val="1186939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7359"/>
        <c:crosses val="autoZero"/>
        <c:crossBetween val="between"/>
      </c:valAx>
      <c:valAx>
        <c:axId val="386480223"/>
        <c:scaling>
          <c:orientation val="minMax"/>
          <c:max val="13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868767"/>
        <c:crosses val="max"/>
        <c:crossBetween val="between"/>
      </c:valAx>
      <c:catAx>
        <c:axId val="38686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480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146050</xdr:colOff>
      <xdr:row>4</xdr:row>
      <xdr:rowOff>152400</xdr:rowOff>
    </xdr:from>
    <xdr:to>
      <xdr:col>13</xdr:col>
      <xdr:colOff>0</xdr:colOff>
      <xdr:row>26</xdr:row>
      <xdr:rowOff>177800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367B01C8-7599-9D36-19AD-7BD6F44D5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383491</xdr:colOff>
      <xdr:row>24</xdr:row>
      <xdr:rowOff>16683</xdr:rowOff>
    </xdr:from>
    <xdr:to>
      <xdr:col>10</xdr:col>
      <xdr:colOff>946275</xdr:colOff>
      <xdr:row>44</xdr:row>
      <xdr:rowOff>112058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F8B6DA7-A090-734F-8B5E-7E8611263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05CF-559F-BC4C-97B7-8A1B0DD27CA5}">
  <sheetPr>
    <tabColor rgb="FFFF0000"/>
  </sheetPr>
  <dimension ref="A1:N23"/>
  <sheetViews>
    <sheetView tabSelected="1" zoomScaleNormal="100" workbookViewId="0">
      <selection activeCell="I32" sqref="I32"/>
    </sheetView>
  </sheetViews>
  <sheetFormatPr baseColWidth="10" defaultRowHeight="20"/>
  <cols>
    <col min="1" max="1" width="1.5703125" customWidth="1"/>
    <col min="2" max="2" width="6.85546875" customWidth="1"/>
    <col min="3" max="3" width="6.5703125" customWidth="1"/>
    <col min="4" max="4" width="6.140625" style="24" customWidth="1"/>
    <col min="5" max="5" width="6.140625" style="1" customWidth="1"/>
    <col min="6" max="6" width="6" customWidth="1"/>
    <col min="7" max="7" width="7" customWidth="1"/>
    <col min="8" max="8" width="26.85546875" customWidth="1"/>
    <col min="9" max="9" width="69.85546875" customWidth="1"/>
    <col min="10" max="10" width="13.5703125" customWidth="1"/>
    <col min="11" max="12" width="5.28515625" customWidth="1"/>
    <col min="13" max="13" width="2.7109375" customWidth="1"/>
    <col min="14" max="14" width="7.7109375" customWidth="1"/>
    <col min="15" max="15" width="2.7109375" customWidth="1"/>
  </cols>
  <sheetData>
    <row r="1" spans="1:14" s="8" customFormat="1" ht="24">
      <c r="A1" s="8" t="s">
        <v>32</v>
      </c>
      <c r="D1" s="23"/>
      <c r="E1" s="9"/>
    </row>
    <row r="2" spans="1:14" ht="5" customHeight="1"/>
    <row r="3" spans="1:14" s="5" customFormat="1" ht="42">
      <c r="B3" s="22" t="s">
        <v>63</v>
      </c>
      <c r="C3" s="13" t="s">
        <v>62</v>
      </c>
      <c r="D3" s="41" t="s">
        <v>24</v>
      </c>
      <c r="E3" s="42" t="s">
        <v>20</v>
      </c>
      <c r="F3" s="39" t="s">
        <v>21</v>
      </c>
      <c r="G3" s="39" t="s">
        <v>92</v>
      </c>
      <c r="H3" s="44" t="s">
        <v>93</v>
      </c>
      <c r="I3" s="12" t="s">
        <v>91</v>
      </c>
      <c r="J3" s="12" t="s">
        <v>41</v>
      </c>
      <c r="K3" s="14" t="s">
        <v>58</v>
      </c>
      <c r="L3" s="14" t="s">
        <v>59</v>
      </c>
      <c r="N3" s="15" t="s">
        <v>60</v>
      </c>
    </row>
    <row r="4" spans="1:14">
      <c r="B4" s="2" t="s">
        <v>0</v>
      </c>
      <c r="C4" s="2">
        <v>1644</v>
      </c>
      <c r="D4" s="26">
        <v>5.3</v>
      </c>
      <c r="E4" s="40">
        <v>0.41</v>
      </c>
      <c r="F4" s="2">
        <v>7</v>
      </c>
      <c r="G4" s="3">
        <f>F4/13</f>
        <v>0.53846153846153844</v>
      </c>
      <c r="H4" s="3" t="s">
        <v>94</v>
      </c>
      <c r="I4" s="2"/>
      <c r="J4" s="2"/>
      <c r="K4" s="2">
        <v>0</v>
      </c>
      <c r="L4" s="13" t="s">
        <v>36</v>
      </c>
      <c r="N4" s="13" t="s">
        <v>36</v>
      </c>
    </row>
    <row r="5" spans="1:14">
      <c r="B5" s="21" t="s">
        <v>1</v>
      </c>
      <c r="C5" s="21">
        <v>1645</v>
      </c>
      <c r="D5" s="34">
        <v>0</v>
      </c>
      <c r="E5" s="43">
        <v>0</v>
      </c>
      <c r="F5" s="21">
        <v>0</v>
      </c>
      <c r="G5" s="35">
        <f t="shared" ref="G5:G23" si="0">F5/13</f>
        <v>0</v>
      </c>
      <c r="H5" s="35"/>
      <c r="I5" s="21"/>
      <c r="J5" s="21"/>
      <c r="K5" s="2">
        <v>0</v>
      </c>
      <c r="L5" s="13" t="s">
        <v>36</v>
      </c>
      <c r="N5" s="13" t="s">
        <v>36</v>
      </c>
    </row>
    <row r="6" spans="1:14">
      <c r="B6" s="2" t="s">
        <v>2</v>
      </c>
      <c r="C6" s="2">
        <v>1646</v>
      </c>
      <c r="D6" s="26">
        <v>0</v>
      </c>
      <c r="E6" s="40">
        <v>0</v>
      </c>
      <c r="F6" s="2">
        <v>0</v>
      </c>
      <c r="G6" s="3">
        <f t="shared" si="0"/>
        <v>0</v>
      </c>
      <c r="H6" s="3"/>
      <c r="I6" s="2"/>
      <c r="J6" s="2"/>
      <c r="K6" s="2">
        <v>0</v>
      </c>
      <c r="L6" s="13" t="s">
        <v>36</v>
      </c>
      <c r="N6" s="13" t="s">
        <v>36</v>
      </c>
    </row>
    <row r="7" spans="1:14">
      <c r="B7" s="21" t="s">
        <v>3</v>
      </c>
      <c r="C7" s="21">
        <v>1647</v>
      </c>
      <c r="D7" s="34">
        <v>0</v>
      </c>
      <c r="E7" s="43">
        <v>0</v>
      </c>
      <c r="F7" s="21">
        <v>0</v>
      </c>
      <c r="G7" s="35">
        <f t="shared" si="0"/>
        <v>0</v>
      </c>
      <c r="H7" s="35"/>
      <c r="I7" s="21"/>
      <c r="J7" s="21"/>
      <c r="K7" s="2">
        <v>0</v>
      </c>
      <c r="L7" s="13" t="s">
        <v>36</v>
      </c>
      <c r="N7" s="13" t="s">
        <v>36</v>
      </c>
    </row>
    <row r="8" spans="1:14">
      <c r="B8" s="2" t="s">
        <v>4</v>
      </c>
      <c r="C8" s="2">
        <v>1648</v>
      </c>
      <c r="D8" s="26">
        <v>0</v>
      </c>
      <c r="E8" s="40">
        <v>0</v>
      </c>
      <c r="F8" s="2">
        <v>0</v>
      </c>
      <c r="G8" s="3">
        <f t="shared" si="0"/>
        <v>0</v>
      </c>
      <c r="H8" s="3"/>
      <c r="I8" s="2"/>
      <c r="J8" s="2"/>
      <c r="K8" s="2">
        <v>0</v>
      </c>
      <c r="L8" s="13" t="s">
        <v>36</v>
      </c>
      <c r="N8" s="13" t="s">
        <v>36</v>
      </c>
    </row>
    <row r="9" spans="1:14">
      <c r="B9" s="21" t="s">
        <v>5</v>
      </c>
      <c r="C9" s="21">
        <v>1649</v>
      </c>
      <c r="D9" s="34">
        <v>0</v>
      </c>
      <c r="E9" s="43">
        <v>0</v>
      </c>
      <c r="F9" s="21">
        <v>0</v>
      </c>
      <c r="G9" s="35">
        <f t="shared" si="0"/>
        <v>0</v>
      </c>
      <c r="H9" s="35"/>
      <c r="I9" s="21"/>
      <c r="J9" s="21"/>
      <c r="K9" s="2">
        <v>0</v>
      </c>
      <c r="L9" s="13" t="s">
        <v>36</v>
      </c>
      <c r="N9" s="13" t="s">
        <v>36</v>
      </c>
    </row>
    <row r="10" spans="1:14">
      <c r="B10" s="2" t="s">
        <v>6</v>
      </c>
      <c r="C10" s="2">
        <v>1650</v>
      </c>
      <c r="D10" s="26">
        <v>0</v>
      </c>
      <c r="E10" s="40">
        <v>0</v>
      </c>
      <c r="F10" s="2">
        <v>0</v>
      </c>
      <c r="G10" s="3">
        <f t="shared" si="0"/>
        <v>0</v>
      </c>
      <c r="H10" s="3"/>
      <c r="I10" s="2"/>
      <c r="J10" s="2"/>
      <c r="K10" s="2">
        <v>0</v>
      </c>
      <c r="L10" s="13" t="s">
        <v>36</v>
      </c>
      <c r="N10" s="13" t="s">
        <v>36</v>
      </c>
    </row>
    <row r="11" spans="1:14">
      <c r="B11" s="21" t="s">
        <v>7</v>
      </c>
      <c r="C11" s="21">
        <v>1651</v>
      </c>
      <c r="D11" s="34">
        <v>0</v>
      </c>
      <c r="E11" s="43">
        <v>0</v>
      </c>
      <c r="F11" s="21">
        <v>0</v>
      </c>
      <c r="G11" s="35">
        <f t="shared" si="0"/>
        <v>0</v>
      </c>
      <c r="H11" s="35"/>
      <c r="I11" s="21"/>
      <c r="J11" s="21"/>
      <c r="K11" s="2">
        <v>0</v>
      </c>
      <c r="L11" s="13" t="s">
        <v>36</v>
      </c>
      <c r="N11" s="13" t="s">
        <v>36</v>
      </c>
    </row>
    <row r="12" spans="1:14">
      <c r="B12" s="2" t="s">
        <v>8</v>
      </c>
      <c r="C12" s="2">
        <v>1652</v>
      </c>
      <c r="D12" s="26">
        <v>0</v>
      </c>
      <c r="E12" s="40">
        <v>0</v>
      </c>
      <c r="F12" s="2">
        <v>0</v>
      </c>
      <c r="G12" s="3">
        <f t="shared" si="0"/>
        <v>0</v>
      </c>
      <c r="H12" s="3"/>
      <c r="I12" s="2"/>
      <c r="J12" s="2"/>
      <c r="K12" s="2">
        <v>0</v>
      </c>
      <c r="L12" s="13" t="s">
        <v>36</v>
      </c>
      <c r="N12" s="2"/>
    </row>
    <row r="13" spans="1:14">
      <c r="B13" s="21" t="s">
        <v>9</v>
      </c>
      <c r="C13" s="21">
        <v>1653</v>
      </c>
      <c r="D13" s="34">
        <v>0</v>
      </c>
      <c r="E13" s="43">
        <v>0</v>
      </c>
      <c r="F13" s="21">
        <v>0</v>
      </c>
      <c r="G13" s="35">
        <f t="shared" si="0"/>
        <v>0</v>
      </c>
      <c r="H13" s="35"/>
      <c r="I13" s="21"/>
      <c r="J13" s="21"/>
      <c r="K13" s="2">
        <v>0</v>
      </c>
      <c r="L13" s="13" t="s">
        <v>36</v>
      </c>
      <c r="N13" s="2"/>
    </row>
    <row r="14" spans="1:14">
      <c r="B14" s="2" t="s">
        <v>10</v>
      </c>
      <c r="C14" s="2">
        <v>1654</v>
      </c>
      <c r="D14" s="26">
        <v>0</v>
      </c>
      <c r="E14" s="40">
        <v>0</v>
      </c>
      <c r="F14" s="2">
        <v>0</v>
      </c>
      <c r="G14" s="3">
        <f t="shared" si="0"/>
        <v>0</v>
      </c>
      <c r="H14" s="3"/>
      <c r="I14" s="2"/>
      <c r="J14" s="2"/>
      <c r="K14" s="2">
        <v>0</v>
      </c>
      <c r="L14" s="13" t="s">
        <v>36</v>
      </c>
      <c r="N14" s="2"/>
    </row>
    <row r="15" spans="1:14">
      <c r="B15" s="21" t="s">
        <v>11</v>
      </c>
      <c r="C15" s="21">
        <v>1655</v>
      </c>
      <c r="D15" s="36">
        <v>0</v>
      </c>
      <c r="E15" s="43">
        <v>0</v>
      </c>
      <c r="F15" s="37">
        <v>0</v>
      </c>
      <c r="G15" s="35">
        <f t="shared" si="0"/>
        <v>0</v>
      </c>
      <c r="H15" s="35"/>
      <c r="I15" s="21"/>
      <c r="J15" s="21"/>
      <c r="K15" s="2">
        <v>0</v>
      </c>
      <c r="L15" s="13" t="s">
        <v>36</v>
      </c>
      <c r="N15" s="2"/>
    </row>
    <row r="16" spans="1:14">
      <c r="B16" s="2" t="s">
        <v>12</v>
      </c>
      <c r="C16" s="2">
        <v>1656</v>
      </c>
      <c r="D16" s="26">
        <v>0</v>
      </c>
      <c r="E16" s="40">
        <v>0</v>
      </c>
      <c r="F16" s="2">
        <v>0</v>
      </c>
      <c r="G16" s="3">
        <f t="shared" si="0"/>
        <v>0</v>
      </c>
      <c r="H16" s="3"/>
      <c r="I16" s="2"/>
      <c r="J16" s="2"/>
      <c r="K16" s="2">
        <v>0</v>
      </c>
      <c r="L16" s="13" t="s">
        <v>36</v>
      </c>
      <c r="N16" s="2"/>
    </row>
    <row r="17" spans="2:14">
      <c r="B17" s="21" t="s">
        <v>13</v>
      </c>
      <c r="C17" s="21">
        <v>1657</v>
      </c>
      <c r="D17" s="34">
        <v>0</v>
      </c>
      <c r="E17" s="43">
        <v>0</v>
      </c>
      <c r="F17" s="21">
        <v>0</v>
      </c>
      <c r="G17" s="35">
        <f t="shared" si="0"/>
        <v>0</v>
      </c>
      <c r="H17" s="35"/>
      <c r="I17" s="21"/>
      <c r="J17" s="21"/>
      <c r="K17" s="2">
        <v>0</v>
      </c>
      <c r="L17" s="13" t="s">
        <v>36</v>
      </c>
      <c r="N17" s="2"/>
    </row>
    <row r="18" spans="2:14">
      <c r="B18" s="2" t="s">
        <v>14</v>
      </c>
      <c r="C18" s="2">
        <v>1658</v>
      </c>
      <c r="D18" s="26">
        <v>0</v>
      </c>
      <c r="E18" s="40">
        <v>0</v>
      </c>
      <c r="F18" s="2">
        <v>0</v>
      </c>
      <c r="G18" s="3">
        <f t="shared" si="0"/>
        <v>0</v>
      </c>
      <c r="H18" s="3"/>
      <c r="I18" s="2"/>
      <c r="J18" s="2"/>
      <c r="K18" s="2">
        <v>0</v>
      </c>
      <c r="L18" s="13" t="s">
        <v>36</v>
      </c>
      <c r="N18" s="2"/>
    </row>
    <row r="19" spans="2:14">
      <c r="B19" s="21" t="s">
        <v>15</v>
      </c>
      <c r="C19" s="21">
        <v>1659</v>
      </c>
      <c r="D19" s="34">
        <v>0</v>
      </c>
      <c r="E19" s="43">
        <v>0</v>
      </c>
      <c r="F19" s="21">
        <v>0</v>
      </c>
      <c r="G19" s="35">
        <f t="shared" si="0"/>
        <v>0</v>
      </c>
      <c r="H19" s="35"/>
      <c r="I19" s="21"/>
      <c r="J19" s="21"/>
      <c r="K19" s="2">
        <v>0</v>
      </c>
      <c r="L19" s="13" t="s">
        <v>36</v>
      </c>
      <c r="N19" s="2"/>
    </row>
    <row r="20" spans="2:14">
      <c r="B20" s="38" t="s">
        <v>16</v>
      </c>
      <c r="C20" s="2">
        <v>1660</v>
      </c>
      <c r="D20" s="26">
        <v>0</v>
      </c>
      <c r="E20" s="40">
        <v>0</v>
      </c>
      <c r="F20" s="2">
        <v>0</v>
      </c>
      <c r="G20" s="3">
        <f t="shared" si="0"/>
        <v>0</v>
      </c>
      <c r="H20" s="3"/>
      <c r="I20" s="2"/>
      <c r="J20" s="2"/>
      <c r="K20" s="2"/>
      <c r="L20" s="2"/>
      <c r="N20" s="2"/>
    </row>
    <row r="21" spans="2:14">
      <c r="B21" s="21" t="s">
        <v>17</v>
      </c>
      <c r="C21" s="21">
        <v>1661</v>
      </c>
      <c r="D21" s="34">
        <v>0</v>
      </c>
      <c r="E21" s="43">
        <v>0</v>
      </c>
      <c r="F21" s="21">
        <v>0</v>
      </c>
      <c r="G21" s="35">
        <f t="shared" si="0"/>
        <v>0</v>
      </c>
      <c r="H21" s="35"/>
      <c r="I21" s="21"/>
      <c r="J21" s="21"/>
      <c r="K21" s="2"/>
      <c r="L21" s="2"/>
      <c r="N21" s="2"/>
    </row>
    <row r="22" spans="2:14">
      <c r="B22" s="2" t="s">
        <v>86</v>
      </c>
      <c r="C22" s="2">
        <v>1662</v>
      </c>
      <c r="D22" s="26">
        <v>0</v>
      </c>
      <c r="E22" s="40">
        <v>0</v>
      </c>
      <c r="F22" s="2">
        <v>0</v>
      </c>
      <c r="G22" s="3">
        <f t="shared" si="0"/>
        <v>0</v>
      </c>
      <c r="H22" s="3"/>
      <c r="I22" s="2"/>
      <c r="J22" s="2"/>
      <c r="K22" s="2"/>
      <c r="L22" s="2"/>
      <c r="N22" s="2"/>
    </row>
    <row r="23" spans="2:14">
      <c r="B23" s="21" t="s">
        <v>87</v>
      </c>
      <c r="C23" s="21">
        <v>1663</v>
      </c>
      <c r="D23" s="34">
        <v>0</v>
      </c>
      <c r="E23" s="43">
        <v>0</v>
      </c>
      <c r="F23" s="21">
        <v>0</v>
      </c>
      <c r="G23" s="35">
        <f t="shared" si="0"/>
        <v>0</v>
      </c>
      <c r="H23" s="35"/>
      <c r="I23" s="21"/>
      <c r="J23" s="21"/>
      <c r="K23" s="2"/>
      <c r="L23" s="2"/>
      <c r="N23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3E61-3D74-E34A-8CF4-A8C54CB93EA5}">
  <dimension ref="A1:AA23"/>
  <sheetViews>
    <sheetView zoomScale="93" zoomScaleNormal="93" workbookViewId="0">
      <selection activeCell="J47" sqref="J47"/>
    </sheetView>
  </sheetViews>
  <sheetFormatPr baseColWidth="10" defaultRowHeight="20"/>
  <cols>
    <col min="1" max="1" width="4.42578125" customWidth="1"/>
    <col min="2" max="2" width="6.85546875" customWidth="1"/>
    <col min="3" max="3" width="6.5703125" customWidth="1"/>
    <col min="4" max="4" width="12.85546875" customWidth="1"/>
    <col min="5" max="6" width="5.85546875" customWidth="1"/>
    <col min="7" max="7" width="6.140625" style="24" customWidth="1"/>
    <col min="8" max="8" width="6" customWidth="1"/>
    <col min="9" max="9" width="6.140625" style="1" customWidth="1"/>
    <col min="10" max="10" width="69.85546875" customWidth="1"/>
    <col min="11" max="11" width="13.5703125" customWidth="1"/>
    <col min="12" max="13" width="5.28515625" customWidth="1"/>
    <col min="14" max="14" width="2.7109375" customWidth="1"/>
    <col min="15" max="15" width="7.7109375" customWidth="1"/>
    <col min="16" max="16" width="2.7109375" customWidth="1"/>
    <col min="17" max="25" width="4.140625" customWidth="1"/>
    <col min="26" max="26" width="3.5703125" customWidth="1"/>
    <col min="27" max="27" width="13.85546875" customWidth="1"/>
  </cols>
  <sheetData>
    <row r="1" spans="1:27" s="8" customFormat="1" ht="24">
      <c r="A1" s="8" t="s">
        <v>32</v>
      </c>
      <c r="G1" s="23"/>
      <c r="I1" s="9"/>
      <c r="Q1" s="27" t="s">
        <v>69</v>
      </c>
    </row>
    <row r="2" spans="1:27" ht="5" customHeight="1"/>
    <row r="3" spans="1:27" s="5" customFormat="1" ht="42">
      <c r="B3" s="22" t="s">
        <v>63</v>
      </c>
      <c r="C3" s="13" t="s">
        <v>62</v>
      </c>
      <c r="D3" s="10" t="s">
        <v>25</v>
      </c>
      <c r="E3" s="11" t="s">
        <v>33</v>
      </c>
      <c r="F3" s="11" t="s">
        <v>35</v>
      </c>
      <c r="G3" s="25" t="s">
        <v>24</v>
      </c>
      <c r="H3" s="7" t="s">
        <v>21</v>
      </c>
      <c r="I3" s="6" t="s">
        <v>20</v>
      </c>
      <c r="J3" s="12" t="s">
        <v>19</v>
      </c>
      <c r="K3" s="12" t="s">
        <v>41</v>
      </c>
      <c r="L3" s="14" t="s">
        <v>58</v>
      </c>
      <c r="M3" s="14" t="s">
        <v>59</v>
      </c>
      <c r="O3" s="15" t="s">
        <v>60</v>
      </c>
      <c r="Q3" s="28">
        <v>1</v>
      </c>
      <c r="R3" s="28">
        <v>2</v>
      </c>
      <c r="S3" s="28">
        <v>3</v>
      </c>
      <c r="T3" s="28">
        <v>4</v>
      </c>
      <c r="U3" s="28">
        <v>5</v>
      </c>
      <c r="V3" s="28">
        <v>6</v>
      </c>
      <c r="W3" s="28">
        <v>7</v>
      </c>
      <c r="X3" s="28">
        <v>8</v>
      </c>
      <c r="Y3" s="28">
        <v>9</v>
      </c>
      <c r="Z3" s="28">
        <v>10</v>
      </c>
      <c r="AA3" s="29" t="s">
        <v>70</v>
      </c>
    </row>
    <row r="4" spans="1:27">
      <c r="B4" s="21" t="s">
        <v>0</v>
      </c>
      <c r="C4" s="2">
        <v>1608</v>
      </c>
      <c r="D4" s="16" t="s">
        <v>26</v>
      </c>
      <c r="E4" s="2">
        <v>0</v>
      </c>
      <c r="F4" s="3">
        <v>0</v>
      </c>
      <c r="G4" s="26">
        <f t="shared" ref="G4:G22" si="0">I4*13</f>
        <v>0.13</v>
      </c>
      <c r="H4" s="2">
        <v>0</v>
      </c>
      <c r="I4" s="3">
        <v>0.01</v>
      </c>
      <c r="J4" s="2" t="s">
        <v>37</v>
      </c>
      <c r="K4" s="2"/>
      <c r="L4" s="2"/>
      <c r="M4" s="2"/>
      <c r="O4" s="13" t="s">
        <v>36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B5" s="19" t="s">
        <v>1</v>
      </c>
      <c r="C5" s="2">
        <v>1609</v>
      </c>
      <c r="D5" s="16" t="s">
        <v>27</v>
      </c>
      <c r="E5" s="2">
        <v>4</v>
      </c>
      <c r="F5" s="3">
        <f>E5/13</f>
        <v>0.30769230769230771</v>
      </c>
      <c r="G5" s="26">
        <f t="shared" si="0"/>
        <v>4.1002000000000001</v>
      </c>
      <c r="H5" s="2">
        <v>5</v>
      </c>
      <c r="I5" s="4">
        <v>0.31540000000000001</v>
      </c>
      <c r="J5" s="2" t="s">
        <v>38</v>
      </c>
      <c r="K5" s="2" t="s">
        <v>42</v>
      </c>
      <c r="L5" s="2">
        <v>0</v>
      </c>
      <c r="M5" s="13" t="s">
        <v>36</v>
      </c>
      <c r="O5" s="13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B6" s="19" t="s">
        <v>2</v>
      </c>
      <c r="C6" s="2">
        <v>1610</v>
      </c>
      <c r="D6" s="16" t="s">
        <v>28</v>
      </c>
      <c r="E6" s="2">
        <v>5</v>
      </c>
      <c r="F6" s="3">
        <f t="shared" ref="F6:F21" si="1">E6/13</f>
        <v>0.38461538461538464</v>
      </c>
      <c r="G6" s="26">
        <f t="shared" si="0"/>
        <v>4.9009999999999998</v>
      </c>
      <c r="H6" s="2">
        <v>6</v>
      </c>
      <c r="I6" s="3">
        <v>0.377</v>
      </c>
      <c r="J6" s="2" t="s">
        <v>18</v>
      </c>
      <c r="K6" s="2" t="s">
        <v>43</v>
      </c>
      <c r="L6" s="2">
        <v>0</v>
      </c>
      <c r="M6" s="13" t="s">
        <v>36</v>
      </c>
      <c r="O6" s="13" t="s">
        <v>36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B7" s="19" t="s">
        <v>3</v>
      </c>
      <c r="C7" s="2">
        <v>1613</v>
      </c>
      <c r="D7" s="16" t="s">
        <v>29</v>
      </c>
      <c r="E7" s="2">
        <v>2</v>
      </c>
      <c r="F7" s="3">
        <f t="shared" si="1"/>
        <v>0.15384615384615385</v>
      </c>
      <c r="G7" s="26">
        <f t="shared" si="0"/>
        <v>2.2997000000000001</v>
      </c>
      <c r="H7" s="2">
        <v>3</v>
      </c>
      <c r="I7" s="3">
        <v>0.1769</v>
      </c>
      <c r="J7" s="2" t="s">
        <v>22</v>
      </c>
      <c r="K7" s="2" t="s">
        <v>44</v>
      </c>
      <c r="L7" s="2">
        <v>0</v>
      </c>
      <c r="M7" s="13" t="s">
        <v>36</v>
      </c>
      <c r="O7" s="13" t="s">
        <v>36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B8" s="19" t="s">
        <v>4</v>
      </c>
      <c r="C8" s="2">
        <v>1614</v>
      </c>
      <c r="D8" s="16" t="s">
        <v>30</v>
      </c>
      <c r="E8" s="2">
        <v>6</v>
      </c>
      <c r="F8" s="3">
        <f t="shared" si="1"/>
        <v>0.46153846153846156</v>
      </c>
      <c r="G8" s="26">
        <f t="shared" si="0"/>
        <v>5.59</v>
      </c>
      <c r="H8" s="2">
        <v>7</v>
      </c>
      <c r="I8" s="3">
        <v>0.43</v>
      </c>
      <c r="J8" s="2" t="s">
        <v>23</v>
      </c>
      <c r="K8" s="2" t="s">
        <v>45</v>
      </c>
      <c r="L8" s="2">
        <v>0</v>
      </c>
      <c r="M8" s="13" t="s">
        <v>36</v>
      </c>
      <c r="O8" s="13" t="s">
        <v>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B9" s="19" t="s">
        <v>5</v>
      </c>
      <c r="C9" s="2">
        <v>1616</v>
      </c>
      <c r="D9" s="16" t="s">
        <v>31</v>
      </c>
      <c r="E9" s="2">
        <v>7</v>
      </c>
      <c r="F9" s="3">
        <f t="shared" si="1"/>
        <v>0.53846153846153844</v>
      </c>
      <c r="G9" s="26">
        <v>5.6</v>
      </c>
      <c r="H9" s="2">
        <v>7</v>
      </c>
      <c r="I9" s="3">
        <v>0.43</v>
      </c>
      <c r="J9" s="2" t="s">
        <v>34</v>
      </c>
      <c r="K9" s="2" t="s">
        <v>46</v>
      </c>
      <c r="L9" s="2">
        <v>0</v>
      </c>
      <c r="M9" s="13" t="s">
        <v>36</v>
      </c>
      <c r="O9" s="13" t="s">
        <v>36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B10" s="19" t="s">
        <v>6</v>
      </c>
      <c r="C10" s="2">
        <v>1618</v>
      </c>
      <c r="D10" s="17" t="s">
        <v>36</v>
      </c>
      <c r="E10" s="2">
        <v>0</v>
      </c>
      <c r="F10" s="3">
        <f t="shared" si="1"/>
        <v>0</v>
      </c>
      <c r="G10" s="26">
        <f t="shared" si="0"/>
        <v>0.13</v>
      </c>
      <c r="H10" s="2">
        <v>0</v>
      </c>
      <c r="I10" s="3">
        <v>0.01</v>
      </c>
      <c r="J10" s="2" t="s">
        <v>40</v>
      </c>
      <c r="K10" s="2" t="s">
        <v>47</v>
      </c>
      <c r="L10" s="2">
        <v>0</v>
      </c>
      <c r="M10" s="13" t="s">
        <v>36</v>
      </c>
      <c r="O10" s="13" t="s">
        <v>36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B11" s="19" t="s">
        <v>7</v>
      </c>
      <c r="C11" s="2">
        <v>1619</v>
      </c>
      <c r="D11" s="16" t="s">
        <v>61</v>
      </c>
      <c r="E11" s="2">
        <v>5</v>
      </c>
      <c r="F11" s="3">
        <f t="shared" si="1"/>
        <v>0.38461538461538464</v>
      </c>
      <c r="G11" s="26">
        <v>5</v>
      </c>
      <c r="H11" s="2">
        <v>6</v>
      </c>
      <c r="I11" s="3">
        <v>0.37</v>
      </c>
      <c r="J11" s="2" t="s">
        <v>39</v>
      </c>
      <c r="K11" s="2" t="s">
        <v>48</v>
      </c>
      <c r="L11" s="2">
        <v>0</v>
      </c>
      <c r="M11" s="13" t="s">
        <v>36</v>
      </c>
      <c r="O11" s="13" t="s">
        <v>36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B12" s="18" t="s">
        <v>8</v>
      </c>
      <c r="C12" s="2">
        <v>1620</v>
      </c>
      <c r="D12" s="16" t="s">
        <v>65</v>
      </c>
      <c r="E12" s="2">
        <v>3</v>
      </c>
      <c r="F12" s="3">
        <f t="shared" si="1"/>
        <v>0.23076923076923078</v>
      </c>
      <c r="G12" s="26">
        <v>3</v>
      </c>
      <c r="H12" s="2">
        <v>5</v>
      </c>
      <c r="I12" s="3">
        <v>0.26</v>
      </c>
      <c r="J12" s="2" t="s">
        <v>64</v>
      </c>
      <c r="K12" s="2" t="s">
        <v>49</v>
      </c>
      <c r="L12" s="2">
        <v>0</v>
      </c>
      <c r="M12" s="13" t="s">
        <v>36</v>
      </c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B13" s="18" t="s">
        <v>9</v>
      </c>
      <c r="C13" s="2">
        <v>1621</v>
      </c>
      <c r="D13" s="16" t="s">
        <v>65</v>
      </c>
      <c r="E13" s="2">
        <v>5</v>
      </c>
      <c r="F13" s="3">
        <f t="shared" si="1"/>
        <v>0.38461538461538464</v>
      </c>
      <c r="G13" s="26">
        <v>4.5</v>
      </c>
      <c r="H13" s="2">
        <v>6</v>
      </c>
      <c r="I13" s="3">
        <v>0.34599999999999997</v>
      </c>
      <c r="J13" s="2" t="s">
        <v>66</v>
      </c>
      <c r="K13" s="2" t="s">
        <v>50</v>
      </c>
      <c r="L13" s="2">
        <v>0</v>
      </c>
      <c r="M13" s="13" t="s">
        <v>36</v>
      </c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B14" s="18" t="s">
        <v>10</v>
      </c>
      <c r="C14" s="2">
        <v>1622</v>
      </c>
      <c r="D14" s="16" t="s">
        <v>67</v>
      </c>
      <c r="E14" s="2">
        <v>4</v>
      </c>
      <c r="F14" s="3">
        <f t="shared" si="1"/>
        <v>0.30769230769230771</v>
      </c>
      <c r="G14" s="26">
        <f t="shared" si="0"/>
        <v>4.8879999999999999</v>
      </c>
      <c r="H14" s="2">
        <v>7</v>
      </c>
      <c r="I14" s="3">
        <v>0.376</v>
      </c>
      <c r="J14" s="2" t="s">
        <v>68</v>
      </c>
      <c r="K14" s="2" t="s">
        <v>51</v>
      </c>
      <c r="L14" s="2">
        <v>0</v>
      </c>
      <c r="M14" s="13" t="s">
        <v>36</v>
      </c>
      <c r="O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B15" s="18" t="s">
        <v>11</v>
      </c>
      <c r="C15" s="2">
        <v>1624</v>
      </c>
      <c r="D15" s="16" t="s">
        <v>72</v>
      </c>
      <c r="E15" s="2">
        <v>5</v>
      </c>
      <c r="F15" s="3">
        <f t="shared" si="1"/>
        <v>0.38461538461538464</v>
      </c>
      <c r="G15" s="30">
        <v>5.8</v>
      </c>
      <c r="H15" s="31">
        <v>8</v>
      </c>
      <c r="I15" s="32">
        <v>0.44</v>
      </c>
      <c r="J15" s="2" t="s">
        <v>79</v>
      </c>
      <c r="K15" s="2" t="s">
        <v>52</v>
      </c>
      <c r="L15" s="2">
        <v>0</v>
      </c>
      <c r="M15" s="13" t="s">
        <v>36</v>
      </c>
      <c r="O15" s="2">
        <f>AVERAGE(Q15:Z15)</f>
        <v>5.8</v>
      </c>
      <c r="Q15" s="2">
        <v>5</v>
      </c>
      <c r="R15" s="2">
        <v>6</v>
      </c>
      <c r="S15" s="2">
        <v>4</v>
      </c>
      <c r="T15" s="2">
        <v>7</v>
      </c>
      <c r="U15" s="2">
        <v>5</v>
      </c>
      <c r="V15" s="2">
        <v>6</v>
      </c>
      <c r="W15" s="2">
        <v>5</v>
      </c>
      <c r="X15" s="2">
        <v>7</v>
      </c>
      <c r="Y15" s="2">
        <v>8</v>
      </c>
      <c r="Z15" s="2">
        <v>5</v>
      </c>
      <c r="AA15" s="2" t="s">
        <v>71</v>
      </c>
    </row>
    <row r="16" spans="1:27">
      <c r="B16" s="18" t="s">
        <v>12</v>
      </c>
      <c r="C16" s="2">
        <v>1625</v>
      </c>
      <c r="D16" s="16" t="s">
        <v>73</v>
      </c>
      <c r="E16" s="2">
        <v>1</v>
      </c>
      <c r="F16" s="3">
        <f t="shared" si="1"/>
        <v>7.6923076923076927E-2</v>
      </c>
      <c r="G16" s="26">
        <v>1.2</v>
      </c>
      <c r="H16" s="2">
        <v>2</v>
      </c>
      <c r="I16" s="3">
        <v>0.01</v>
      </c>
      <c r="J16" s="2" t="s">
        <v>74</v>
      </c>
      <c r="K16" s="2" t="s">
        <v>53</v>
      </c>
      <c r="L16" s="2">
        <v>0</v>
      </c>
      <c r="M16" s="13" t="s">
        <v>36</v>
      </c>
      <c r="O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0" t="s">
        <v>13</v>
      </c>
      <c r="C17" s="2">
        <v>1626</v>
      </c>
      <c r="D17" s="16" t="s">
        <v>75</v>
      </c>
      <c r="E17" s="2">
        <v>3</v>
      </c>
      <c r="F17" s="3">
        <f t="shared" si="1"/>
        <v>0.23076923076923078</v>
      </c>
      <c r="G17" s="26">
        <f t="shared" si="0"/>
        <v>3.7699999999999996</v>
      </c>
      <c r="H17" s="2">
        <v>6</v>
      </c>
      <c r="I17" s="3">
        <v>0.28999999999999998</v>
      </c>
      <c r="J17" s="2" t="s">
        <v>76</v>
      </c>
      <c r="K17" s="2" t="s">
        <v>54</v>
      </c>
      <c r="L17" s="2">
        <v>0</v>
      </c>
      <c r="M17" s="13" t="s">
        <v>36</v>
      </c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20" t="s">
        <v>14</v>
      </c>
      <c r="C18" s="2">
        <v>1627</v>
      </c>
      <c r="D18" s="16" t="s">
        <v>77</v>
      </c>
      <c r="E18" s="2">
        <v>6</v>
      </c>
      <c r="F18" s="3">
        <f t="shared" si="1"/>
        <v>0.46153846153846156</v>
      </c>
      <c r="G18" s="26">
        <v>5</v>
      </c>
      <c r="H18" s="2">
        <v>8</v>
      </c>
      <c r="I18" s="3">
        <v>0.38</v>
      </c>
      <c r="J18" s="2" t="s">
        <v>78</v>
      </c>
      <c r="K18" s="2" t="s">
        <v>55</v>
      </c>
      <c r="L18" s="2">
        <v>0</v>
      </c>
      <c r="M18" s="13" t="s">
        <v>36</v>
      </c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0" t="s">
        <v>15</v>
      </c>
      <c r="C19" s="2">
        <v>1628</v>
      </c>
      <c r="D19" s="16" t="s">
        <v>80</v>
      </c>
      <c r="E19" s="2">
        <v>4</v>
      </c>
      <c r="F19" s="3">
        <f t="shared" si="1"/>
        <v>0.30769230769230771</v>
      </c>
      <c r="G19" s="26">
        <f t="shared" si="0"/>
        <v>0.13</v>
      </c>
      <c r="H19" s="2"/>
      <c r="I19" s="3">
        <v>0.01</v>
      </c>
      <c r="J19" s="2" t="s">
        <v>81</v>
      </c>
      <c r="K19" s="2" t="s">
        <v>56</v>
      </c>
      <c r="L19" s="2">
        <v>0</v>
      </c>
      <c r="M19" s="13" t="s">
        <v>36</v>
      </c>
      <c r="O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33" t="s">
        <v>16</v>
      </c>
      <c r="C20" s="2">
        <v>1630</v>
      </c>
      <c r="D20" s="16" t="s">
        <v>84</v>
      </c>
      <c r="E20" s="2">
        <v>3</v>
      </c>
      <c r="F20" s="3">
        <f t="shared" si="1"/>
        <v>0.23076923076923078</v>
      </c>
      <c r="G20" s="26">
        <f t="shared" si="0"/>
        <v>0.13</v>
      </c>
      <c r="H20" s="2">
        <v>3</v>
      </c>
      <c r="I20" s="3">
        <v>0.01</v>
      </c>
      <c r="J20" s="2" t="s">
        <v>82</v>
      </c>
      <c r="K20" s="2" t="s">
        <v>57</v>
      </c>
      <c r="L20" s="2"/>
      <c r="M20" s="2"/>
      <c r="O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0" t="s">
        <v>17</v>
      </c>
      <c r="C21" s="2">
        <v>1631</v>
      </c>
      <c r="D21" s="16"/>
      <c r="E21" s="2"/>
      <c r="F21" s="3">
        <f t="shared" si="1"/>
        <v>0</v>
      </c>
      <c r="G21" s="26">
        <f t="shared" si="0"/>
        <v>0.13</v>
      </c>
      <c r="H21" s="2"/>
      <c r="I21" s="3">
        <v>0.01</v>
      </c>
      <c r="J21" s="2" t="s">
        <v>85</v>
      </c>
      <c r="K21" s="2" t="s">
        <v>83</v>
      </c>
      <c r="L21" s="2"/>
      <c r="M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0" t="s">
        <v>86</v>
      </c>
      <c r="C22" s="2">
        <v>1632</v>
      </c>
      <c r="D22" s="16" t="s">
        <v>88</v>
      </c>
      <c r="E22" s="2">
        <v>6</v>
      </c>
      <c r="F22" s="3"/>
      <c r="G22" s="26">
        <f t="shared" si="0"/>
        <v>5.3949999999999996</v>
      </c>
      <c r="H22" s="2">
        <v>6</v>
      </c>
      <c r="I22" s="3">
        <v>0.41499999999999998</v>
      </c>
      <c r="J22" s="2" t="s">
        <v>90</v>
      </c>
      <c r="K22" s="2"/>
      <c r="L22" s="2"/>
      <c r="M22" s="2"/>
      <c r="O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0" t="s">
        <v>87</v>
      </c>
      <c r="C23" s="2">
        <v>1633</v>
      </c>
      <c r="D23" s="16" t="s">
        <v>89</v>
      </c>
      <c r="E23" s="2"/>
      <c r="F23" s="3"/>
      <c r="G23" s="26"/>
      <c r="H23" s="2"/>
      <c r="I23" s="3"/>
      <c r="J23" s="2"/>
      <c r="K23" s="2"/>
      <c r="L23" s="2"/>
      <c r="M23" s="2"/>
      <c r="O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的中の推移_2026_27シーズン</vt:lpstr>
      <vt:lpstr>的中の推移_２０２６特殊シーズン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2026-03-01T00:50:53Z</dcterms:created>
  <dcterms:modified xsi:type="dcterms:W3CDTF">2026-08-09T16:05:22Z</dcterms:modified>
</cp:coreProperties>
</file>