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_tomo/tt_prj/data_list/"/>
    </mc:Choice>
  </mc:AlternateContent>
  <xr:revisionPtr revIDLastSave="0" documentId="13_ncr:1_{11ADB831-4A9B-4D48-B284-40099F4F2A9D}" xr6:coauthVersionLast="47" xr6:coauthVersionMax="47" xr10:uidLastSave="{00000000-0000-0000-0000-000000000000}"/>
  <bookViews>
    <workbookView xWindow="4380" yWindow="740" windowWidth="19180" windowHeight="14300" xr2:uid="{6EA89268-DA47-4CF0-AFC3-8B9BE86B7350}"/>
  </bookViews>
  <sheets>
    <sheet name="距離" sheetId="1" r:id="rId1"/>
    <sheet name="疲労計算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D11" i="1"/>
  <c r="C11" i="1"/>
  <c r="C10" i="2"/>
  <c r="D10" i="2"/>
  <c r="B10" i="2"/>
  <c r="C9" i="2"/>
  <c r="D9" i="2"/>
  <c r="B9" i="2"/>
  <c r="C8" i="2"/>
  <c r="D8" i="2"/>
  <c r="B8" i="2"/>
</calcChain>
</file>

<file path=xl/sharedStrings.xml><?xml version="1.0" encoding="utf-8"?>
<sst xmlns="http://schemas.openxmlformats.org/spreadsheetml/2006/main" count="48" uniqueCount="38">
  <si>
    <t>A</t>
    <phoneticPr fontId="2"/>
  </si>
  <si>
    <t>B</t>
    <phoneticPr fontId="2"/>
  </si>
  <si>
    <t>C</t>
    <phoneticPr fontId="2"/>
  </si>
  <si>
    <t>home</t>
    <phoneticPr fontId="2"/>
  </si>
  <si>
    <t>away</t>
    <phoneticPr fontId="2"/>
  </si>
  <si>
    <t>home時は０</t>
    <rPh sb="4" eb="5">
      <t>ジ</t>
    </rPh>
    <phoneticPr fontId="2"/>
  </si>
  <si>
    <t>①対象日</t>
    <rPh sb="1" eb="3">
      <t>タイショウ</t>
    </rPh>
    <rPh sb="3" eb="4">
      <t>ビ</t>
    </rPh>
    <phoneticPr fontId="2"/>
  </si>
  <si>
    <t>②前節</t>
    <rPh sb="1" eb="3">
      <t>ゼンセツ</t>
    </rPh>
    <phoneticPr fontId="2"/>
  </si>
  <si>
    <t>③前々節</t>
    <rPh sb="1" eb="3">
      <t>ゼンゼン</t>
    </rPh>
    <rPh sb="3" eb="4">
      <t>セツ</t>
    </rPh>
    <phoneticPr fontId="2"/>
  </si>
  <si>
    <t>④前々々節</t>
    <rPh sb="1" eb="3">
      <t>ゼンゼン</t>
    </rPh>
    <rPh sb="4" eb="5">
      <t>セツ</t>
    </rPh>
    <phoneticPr fontId="2"/>
  </si>
  <si>
    <t>①～②</t>
    <phoneticPr fontId="2"/>
  </si>
  <si>
    <t>②～③</t>
    <phoneticPr fontId="2"/>
  </si>
  <si>
    <t>③～④</t>
    <phoneticPr fontId="2"/>
  </si>
  <si>
    <t>対象</t>
    <rPh sb="0" eb="2">
      <t>タイショウ</t>
    </rPh>
    <phoneticPr fontId="2"/>
  </si>
  <si>
    <t>計算</t>
    <rPh sb="0" eb="2">
      <t>ケイサン</t>
    </rPh>
    <phoneticPr fontId="2"/>
  </si>
  <si>
    <t>士気をどう測る？</t>
    <rPh sb="0" eb="2">
      <t>シキ</t>
    </rPh>
    <rPh sb="5" eb="6">
      <t>ハカ</t>
    </rPh>
    <phoneticPr fontId="2"/>
  </si>
  <si>
    <t>・何位（上位／下位危機感）で、</t>
    <rPh sb="1" eb="3">
      <t>ナンイ</t>
    </rPh>
    <rPh sb="4" eb="6">
      <t>ジョウイ</t>
    </rPh>
    <rPh sb="7" eb="9">
      <t>カイ</t>
    </rPh>
    <rPh sb="9" eb="12">
      <t>キキカン</t>
    </rPh>
    <phoneticPr fontId="2"/>
  </si>
  <si>
    <t>・前節何位で前々節が何位（上がっているか下がっているか）</t>
    <rPh sb="1" eb="3">
      <t>ゼンセツ</t>
    </rPh>
    <rPh sb="3" eb="5">
      <t>ナンイ</t>
    </rPh>
    <rPh sb="6" eb="8">
      <t>ゼンゼン</t>
    </rPh>
    <rPh sb="8" eb="9">
      <t>セツ</t>
    </rPh>
    <rPh sb="10" eb="12">
      <t>ナンイ</t>
    </rPh>
    <rPh sb="13" eb="14">
      <t>ア</t>
    </rPh>
    <rPh sb="20" eb="21">
      <t>サ</t>
    </rPh>
    <phoneticPr fontId="2"/>
  </si>
  <si>
    <t>18節</t>
    <rPh sb="2" eb="3">
      <t>セツ</t>
    </rPh>
    <phoneticPr fontId="2"/>
  </si>
  <si>
    <t>移動距離</t>
    <rPh sb="0" eb="2">
      <t>イドウ</t>
    </rPh>
    <rPh sb="2" eb="4">
      <t>キョリ</t>
    </rPh>
    <phoneticPr fontId="2"/>
  </si>
  <si>
    <t>19節</t>
    <rPh sb="2" eb="3">
      <t>セツ</t>
    </rPh>
    <phoneticPr fontId="2"/>
  </si>
  <si>
    <t>スタッツ</t>
    <phoneticPr fontId="2"/>
  </si>
  <si>
    <t>士気↑↓</t>
    <rPh sb="0" eb="2">
      <t>シキ</t>
    </rPh>
    <phoneticPr fontId="2"/>
  </si>
  <si>
    <t>移動疲労↓</t>
    <rPh sb="0" eb="2">
      <t>イドウ</t>
    </rPh>
    <rPh sb="2" eb="4">
      <t>ヒロウ</t>
    </rPh>
    <phoneticPr fontId="2"/>
  </si>
  <si>
    <t>連戦疲労↓</t>
    <rPh sb="0" eb="2">
      <t>レンセン</t>
    </rPh>
    <rPh sb="2" eb="4">
      <t>ヒロウ</t>
    </rPh>
    <phoneticPr fontId="2"/>
  </si>
  <si>
    <t>対戦状況↑↓</t>
    <rPh sb="0" eb="2">
      <t>タイセン</t>
    </rPh>
    <rPh sb="2" eb="4">
      <t>ジョウキョウ</t>
    </rPh>
    <phoneticPr fontId="2"/>
  </si>
  <si>
    <t>アキ日数は、</t>
    <rPh sb="2" eb="4">
      <t>ニッスウ</t>
    </rPh>
    <phoneticPr fontId="2"/>
  </si>
  <si>
    <t>度数で考える？</t>
    <rPh sb="0" eb="2">
      <t>ドスウ</t>
    </rPh>
    <rPh sb="3" eb="4">
      <t>カンガ</t>
    </rPh>
    <phoneticPr fontId="2"/>
  </si>
  <si>
    <t>アキ日数も</t>
    <rPh sb="2" eb="4">
      <t>ニッスウ</t>
    </rPh>
    <phoneticPr fontId="2"/>
  </si>
  <si>
    <t>距離も</t>
    <rPh sb="0" eb="2">
      <t>キョリ</t>
    </rPh>
    <phoneticPr fontId="2"/>
  </si>
  <si>
    <t>あるべきアキ日数（６）からのマイナスで計算？</t>
    <rPh sb="6" eb="8">
      <t>ニッスウ</t>
    </rPh>
    <rPh sb="19" eb="21">
      <t>ケイサン</t>
    </rPh>
    <phoneticPr fontId="2"/>
  </si>
  <si>
    <t>距離計算は、0～の最初の40kmくらい（準備と移動開始パワー）から、次の100キロ（例えば）の重みをどう考える？</t>
    <rPh sb="0" eb="2">
      <t>キョリ</t>
    </rPh>
    <rPh sb="2" eb="4">
      <t>ケイサン</t>
    </rPh>
    <rPh sb="9" eb="11">
      <t>サイショ</t>
    </rPh>
    <rPh sb="20" eb="22">
      <t>ジュンビ</t>
    </rPh>
    <rPh sb="23" eb="25">
      <t>イドウ</t>
    </rPh>
    <rPh sb="25" eb="27">
      <t>カイシ</t>
    </rPh>
    <rPh sb="34" eb="35">
      <t>ツギ</t>
    </rPh>
    <rPh sb="42" eb="43">
      <t>タト</t>
    </rPh>
    <rPh sb="47" eb="48">
      <t>オモ</t>
    </rPh>
    <rPh sb="52" eb="53">
      <t>カンガ</t>
    </rPh>
    <phoneticPr fontId="2"/>
  </si>
  <si>
    <t>移動計</t>
    <rPh sb="0" eb="2">
      <t>イドウ</t>
    </rPh>
    <rPh sb="2" eb="3">
      <t>ケイ</t>
    </rPh>
    <phoneticPr fontId="2"/>
  </si>
  <si>
    <t>今節</t>
    <rPh sb="0" eb="1">
      <t>コン</t>
    </rPh>
    <rPh sb="1" eb="2">
      <t>セツ</t>
    </rPh>
    <phoneticPr fontId="2"/>
  </si>
  <si>
    <t>↑</t>
    <phoneticPr fontId="2"/>
  </si>
  <si>
    <t>これに係数をかける？</t>
    <rPh sb="3" eb="5">
      <t>ケイスウ</t>
    </rPh>
    <phoneticPr fontId="2"/>
  </si>
  <si>
    <t>ｓ</t>
    <phoneticPr fontId="2"/>
  </si>
  <si>
    <t>要するに、スケジュール帳をメインに、距離リストを参照し、この移動計がだせなければいけない。</t>
    <rPh sb="0" eb="1">
      <t>ヨウ</t>
    </rPh>
    <rPh sb="11" eb="12">
      <t>チョウ</t>
    </rPh>
    <rPh sb="18" eb="20">
      <t>キョリ</t>
    </rPh>
    <rPh sb="24" eb="26">
      <t>サンショウ</t>
    </rPh>
    <rPh sb="30" eb="32">
      <t>イドウ</t>
    </rPh>
    <rPh sb="32" eb="33">
      <t>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</si>
</sst>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/m/dd"/>
  </numFmts>
  <fonts count="4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0" fontId="0" fillId="5" borderId="5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27B92-CB93-4149-83C9-E6397EA9693C}">
  <dimension ref="A1:H17"/>
  <sheetViews>
    <sheetView tabSelected="1" zoomScaleNormal="100" workbookViewId="0">
      <selection activeCell="H16" sqref="H16"/>
    </sheetView>
  </sheetViews>
  <sheetFormatPr baseColWidth="10" defaultColWidth="8.83203125" defaultRowHeight="18"/>
  <cols>
    <col min="8" max="8" width="8.6640625" style="7"/>
  </cols>
  <sheetData>
    <row r="1" spans="1:8">
      <c r="B1" s="26" t="s">
        <v>3</v>
      </c>
      <c r="C1" s="24" t="s">
        <v>4</v>
      </c>
      <c r="D1" s="24"/>
      <c r="E1" s="24"/>
    </row>
    <row r="2" spans="1:8" s="1" customFormat="1">
      <c r="B2" s="27"/>
      <c r="C2" s="5" t="s">
        <v>0</v>
      </c>
      <c r="D2" s="5" t="s">
        <v>1</v>
      </c>
      <c r="E2" s="5" t="s">
        <v>2</v>
      </c>
      <c r="H2" s="7" t="s">
        <v>26</v>
      </c>
    </row>
    <row r="3" spans="1:8">
      <c r="A3" s="6" t="s">
        <v>0</v>
      </c>
      <c r="B3" s="3">
        <v>0</v>
      </c>
      <c r="C3" s="4">
        <v>0</v>
      </c>
      <c r="D3" s="4">
        <v>10</v>
      </c>
      <c r="E3" s="4">
        <v>50</v>
      </c>
      <c r="H3" s="7" t="s">
        <v>30</v>
      </c>
    </row>
    <row r="4" spans="1:8">
      <c r="A4" s="6" t="s">
        <v>1</v>
      </c>
      <c r="B4" s="3">
        <v>0</v>
      </c>
      <c r="C4" s="4">
        <v>10</v>
      </c>
      <c r="D4" s="4">
        <v>0</v>
      </c>
      <c r="E4" s="4">
        <v>100</v>
      </c>
    </row>
    <row r="5" spans="1:8">
      <c r="A5" s="6" t="s">
        <v>2</v>
      </c>
      <c r="B5" s="3">
        <v>0</v>
      </c>
      <c r="C5" s="4">
        <v>50</v>
      </c>
      <c r="D5" s="4">
        <v>100</v>
      </c>
      <c r="E5" s="4">
        <v>0</v>
      </c>
      <c r="H5" s="7" t="s">
        <v>27</v>
      </c>
    </row>
    <row r="6" spans="1:8">
      <c r="H6" s="7" t="s">
        <v>28</v>
      </c>
    </row>
    <row r="7" spans="1:8">
      <c r="A7" s="7" t="s">
        <v>5</v>
      </c>
      <c r="B7" s="7"/>
      <c r="H7" s="7" t="s">
        <v>29</v>
      </c>
    </row>
    <row r="9" spans="1:8">
      <c r="C9" s="25" t="s">
        <v>19</v>
      </c>
      <c r="D9" s="25"/>
      <c r="E9" s="25"/>
    </row>
    <row r="10" spans="1:8">
      <c r="C10" s="9" t="s">
        <v>18</v>
      </c>
      <c r="D10" s="9" t="s">
        <v>20</v>
      </c>
      <c r="E10" s="23" t="s">
        <v>33</v>
      </c>
      <c r="F10" s="4" t="s">
        <v>32</v>
      </c>
      <c r="H10" s="7" t="s">
        <v>31</v>
      </c>
    </row>
    <row r="11" spans="1:8">
      <c r="B11" s="6" t="s">
        <v>0</v>
      </c>
      <c r="C11" s="4">
        <f>B3</f>
        <v>0</v>
      </c>
      <c r="D11" s="4">
        <f>E3</f>
        <v>50</v>
      </c>
      <c r="E11" s="4">
        <f>D3</f>
        <v>10</v>
      </c>
      <c r="F11">
        <f>C11+D11+E11</f>
        <v>60</v>
      </c>
    </row>
    <row r="12" spans="1:8">
      <c r="B12" s="6" t="s">
        <v>1</v>
      </c>
      <c r="C12" s="4"/>
      <c r="D12" s="4"/>
      <c r="E12" s="4"/>
      <c r="H12" s="7" t="s">
        <v>37</v>
      </c>
    </row>
    <row r="13" spans="1:8">
      <c r="B13" s="6" t="s">
        <v>2</v>
      </c>
      <c r="C13" s="4"/>
      <c r="D13" s="4"/>
      <c r="E13" s="4"/>
    </row>
    <row r="14" spans="1:8">
      <c r="E14" t="s">
        <v>34</v>
      </c>
    </row>
    <row r="15" spans="1:8">
      <c r="A15" s="7"/>
      <c r="B15" s="7"/>
      <c r="C15" s="7"/>
      <c r="D15" s="7"/>
      <c r="E15" s="7" t="s">
        <v>35</v>
      </c>
      <c r="F15" s="7"/>
    </row>
    <row r="16" spans="1:8">
      <c r="A16" s="7"/>
      <c r="B16" s="7"/>
      <c r="C16" s="7"/>
      <c r="D16" s="7"/>
      <c r="E16" s="7" t="s">
        <v>36</v>
      </c>
      <c r="F16" s="7"/>
    </row>
    <row r="17" spans="1:6">
      <c r="A17" s="7"/>
      <c r="B17" s="7"/>
      <c r="C17" s="7"/>
      <c r="D17" s="7"/>
      <c r="E17" s="7"/>
      <c r="F17" s="7"/>
    </row>
  </sheetData>
  <mergeCells count="3">
    <mergeCell ref="C1:E1"/>
    <mergeCell ref="C9:E9"/>
    <mergeCell ref="B1:B2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B3D3-23C3-4313-80FF-9529D0066AA8}">
  <dimension ref="A1:G11"/>
  <sheetViews>
    <sheetView zoomScale="135" zoomScaleNormal="135" workbookViewId="0">
      <selection activeCell="B8" sqref="B8"/>
    </sheetView>
  </sheetViews>
  <sheetFormatPr baseColWidth="10" defaultColWidth="8.83203125" defaultRowHeight="18"/>
  <cols>
    <col min="1" max="1" width="11" customWidth="1"/>
    <col min="2" max="2" width="10.33203125" style="8" bestFit="1" customWidth="1"/>
    <col min="3" max="4" width="10.83203125" style="8" customWidth="1"/>
  </cols>
  <sheetData>
    <row r="1" spans="1:7">
      <c r="B1" s="8" t="s">
        <v>0</v>
      </c>
      <c r="C1" s="8" t="s">
        <v>1</v>
      </c>
      <c r="D1" s="8" t="s">
        <v>2</v>
      </c>
    </row>
    <row r="2" spans="1:7">
      <c r="A2" s="2" t="s">
        <v>9</v>
      </c>
      <c r="B2" s="8">
        <v>45769</v>
      </c>
      <c r="C2" s="8">
        <v>45769</v>
      </c>
      <c r="D2" s="8">
        <v>45769</v>
      </c>
    </row>
    <row r="3" spans="1:7">
      <c r="A3" s="2" t="s">
        <v>8</v>
      </c>
      <c r="B3" s="8">
        <v>45776</v>
      </c>
      <c r="C3" s="8">
        <v>45776</v>
      </c>
      <c r="D3" s="8">
        <v>45776</v>
      </c>
    </row>
    <row r="4" spans="1:7">
      <c r="A4" s="2" t="s">
        <v>7</v>
      </c>
      <c r="B4" s="8">
        <v>45780</v>
      </c>
      <c r="C4" s="8">
        <v>45781</v>
      </c>
      <c r="D4" s="8">
        <v>45781</v>
      </c>
    </row>
    <row r="5" spans="1:7">
      <c r="A5" s="2" t="s">
        <v>6</v>
      </c>
      <c r="B5" s="8">
        <v>45785</v>
      </c>
      <c r="C5" s="8">
        <v>45787</v>
      </c>
      <c r="D5" s="8">
        <v>45788</v>
      </c>
    </row>
    <row r="6" spans="1:7">
      <c r="A6" s="2"/>
      <c r="F6" t="s">
        <v>15</v>
      </c>
    </row>
    <row r="7" spans="1:7">
      <c r="A7" s="3" t="s">
        <v>13</v>
      </c>
      <c r="B7" s="28" t="s">
        <v>14</v>
      </c>
      <c r="C7" s="29"/>
      <c r="D7" s="30"/>
      <c r="G7" t="s">
        <v>16</v>
      </c>
    </row>
    <row r="8" spans="1:7">
      <c r="A8" s="3" t="s">
        <v>10</v>
      </c>
      <c r="B8" s="4">
        <f>DATEDIF(B4,B5,"D")</f>
        <v>5</v>
      </c>
      <c r="C8" s="4">
        <f t="shared" ref="C8:D8" si="0">DATEDIF(C4,C5,"D")</f>
        <v>6</v>
      </c>
      <c r="D8" s="4">
        <f t="shared" si="0"/>
        <v>7</v>
      </c>
      <c r="G8" t="s">
        <v>17</v>
      </c>
    </row>
    <row r="9" spans="1:7">
      <c r="A9" s="3" t="s">
        <v>11</v>
      </c>
      <c r="B9" s="4">
        <f>DATEDIF(B3,B4,"D")</f>
        <v>4</v>
      </c>
      <c r="C9" s="4">
        <f t="shared" ref="C9:D9" si="1">DATEDIF(C3,C4,"D")</f>
        <v>5</v>
      </c>
      <c r="D9" s="4">
        <f t="shared" si="1"/>
        <v>5</v>
      </c>
    </row>
    <row r="10" spans="1:7">
      <c r="A10" s="3" t="s">
        <v>12</v>
      </c>
      <c r="B10" s="4">
        <f>DATEDIF(B2,B3,"D")</f>
        <v>7</v>
      </c>
      <c r="C10" s="4">
        <f t="shared" ref="C10:D10" si="2">DATEDIF(C2,C3,"D")</f>
        <v>7</v>
      </c>
      <c r="D10" s="4">
        <f t="shared" si="2"/>
        <v>7</v>
      </c>
    </row>
    <row r="11" spans="1:7">
      <c r="A11" s="2"/>
    </row>
  </sheetData>
  <mergeCells count="1">
    <mergeCell ref="B7:D7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694B4-D879-44FA-B1FC-AE3FCC740B62}">
  <dimension ref="A2:K10"/>
  <sheetViews>
    <sheetView zoomScale="87" zoomScaleNormal="87" workbookViewId="0">
      <selection activeCell="M5" sqref="M5"/>
    </sheetView>
  </sheetViews>
  <sheetFormatPr baseColWidth="10" defaultColWidth="8.6640625" defaultRowHeight="16"/>
  <cols>
    <col min="1" max="1" width="2.33203125" style="10" customWidth="1"/>
    <col min="2" max="2" width="8.6640625" style="10"/>
    <col min="3" max="3" width="3" style="10" customWidth="1"/>
    <col min="4" max="4" width="2.33203125" style="10" customWidth="1"/>
    <col min="5" max="5" width="4" style="10" customWidth="1"/>
    <col min="6" max="6" width="2.6640625" style="10" customWidth="1"/>
    <col min="7" max="7" width="8.6640625" style="10"/>
    <col min="8" max="9" width="2.83203125" style="10" customWidth="1"/>
    <col min="10" max="10" width="3" style="10" customWidth="1"/>
    <col min="11" max="16384" width="8.6640625" style="10"/>
  </cols>
  <sheetData>
    <row r="2" spans="1:11" ht="18" customHeight="1">
      <c r="B2" s="31" t="s">
        <v>25</v>
      </c>
      <c r="C2" s="32"/>
      <c r="D2" s="32"/>
      <c r="E2" s="32"/>
      <c r="F2" s="32"/>
      <c r="G2" s="33"/>
    </row>
    <row r="3" spans="1:11" ht="9" customHeight="1">
      <c r="B3" s="22"/>
      <c r="C3" s="22"/>
      <c r="D3" s="22"/>
      <c r="E3" s="22"/>
      <c r="F3" s="22"/>
      <c r="G3" s="22"/>
    </row>
    <row r="4" spans="1:11" ht="18" customHeight="1">
      <c r="B4" s="22"/>
      <c r="C4" s="22"/>
      <c r="D4" s="22"/>
      <c r="E4" s="22"/>
      <c r="F4" s="22"/>
      <c r="G4" s="11" t="s">
        <v>22</v>
      </c>
    </row>
    <row r="6" spans="1:11">
      <c r="A6" s="13"/>
      <c r="B6" s="14"/>
      <c r="C6" s="14"/>
      <c r="D6" s="15"/>
      <c r="F6" s="13"/>
      <c r="G6" s="14"/>
      <c r="H6" s="14"/>
      <c r="I6" s="15"/>
    </row>
    <row r="7" spans="1:11">
      <c r="A7" s="16"/>
      <c r="B7" s="12" t="s">
        <v>21</v>
      </c>
      <c r="C7" s="17">
        <v>72</v>
      </c>
      <c r="D7" s="18"/>
      <c r="F7" s="16"/>
      <c r="G7" s="12" t="s">
        <v>21</v>
      </c>
      <c r="H7" s="17">
        <v>72</v>
      </c>
      <c r="I7" s="18"/>
    </row>
    <row r="8" spans="1:11">
      <c r="A8" s="19"/>
      <c r="B8" s="20"/>
      <c r="C8" s="20"/>
      <c r="D8" s="21"/>
      <c r="F8" s="19"/>
      <c r="G8" s="20"/>
      <c r="H8" s="20"/>
      <c r="I8" s="21"/>
    </row>
    <row r="10" spans="1:11">
      <c r="G10" s="11" t="s">
        <v>24</v>
      </c>
      <c r="K10" s="11" t="s">
        <v>23</v>
      </c>
    </row>
  </sheetData>
  <mergeCells count="1">
    <mergeCell ref="B2:G2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0919-BFD3-48E2-B6D0-E768EC017557}">
  <dimension ref="A1"/>
  <sheetViews>
    <sheetView workbookViewId="0">
      <selection activeCell="E9" sqref="E9"/>
    </sheetView>
  </sheetViews>
  <sheetFormatPr baseColWidth="10" defaultColWidth="8.83203125" defaultRowHeight="18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距離</vt:lpstr>
      <vt:lpstr>疲労計算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川窪 智輝</dc:creator>
  <cp:lastModifiedBy>tomoki kawakubo</cp:lastModifiedBy>
  <dcterms:created xsi:type="dcterms:W3CDTF">2025-05-01T01:26:52Z</dcterms:created>
  <dcterms:modified xsi:type="dcterms:W3CDTF">2025-05-06T12:29:56Z</dcterms:modified>
</cp:coreProperties>
</file>