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bc5750f5c5599dbc/tt_prj/data_list/"/>
    </mc:Choice>
  </mc:AlternateContent>
  <xr:revisionPtr revIDLastSave="565" documentId="13_ncr:1_{8DF410BE-D5C5-A74E-87EC-F958EF419CAA}" xr6:coauthVersionLast="47" xr6:coauthVersionMax="47" xr10:uidLastSave="{0D9DEE72-EF07-419F-8EA7-1EBF73940C49}"/>
  <bookViews>
    <workbookView xWindow="8208" yWindow="468" windowWidth="21084" windowHeight="12576" xr2:uid="{00000000-000D-0000-FFFF-FFFF00000000}"/>
  </bookViews>
  <sheets>
    <sheet name="J1_距離" sheetId="1" r:id="rId1"/>
  </sheets>
  <definedNames>
    <definedName name="距離_Ｃ大阪_Ｃ大阪">J1_距離!$S$17</definedName>
    <definedName name="距離_Ｃ大阪_FC東京">J1_距離!$E$17</definedName>
    <definedName name="距離_Ｃ大阪_Ｇ大阪">J1_距離!$R$17</definedName>
    <definedName name="距離_Ｃ大阪_浦和">J1_距離!$C$17</definedName>
    <definedName name="距離_Ｃ大阪_横浜FC">J1_距離!$K$17</definedName>
    <definedName name="距離_Ｃ大阪_横浜FM">J1_距離!$I$17</definedName>
    <definedName name="距離_Ｃ大阪_岡山">J1_距離!$U$17</definedName>
    <definedName name="距離_Ｃ大阪_京都">J1_距離!$Q$17</definedName>
    <definedName name="距離_Ｃ大阪_広島">J1_距離!$V$17</definedName>
    <definedName name="距離_Ｃ大阪_鹿島">J1_距離!$B$17</definedName>
    <definedName name="距離_Ｃ大阪_湘南">J1_距離!$L$17</definedName>
    <definedName name="距離_Ｃ大阪_新潟">J1_距離!$M$17</definedName>
    <definedName name="距離_Ｃ大阪_神戸">J1_距離!$T$17</definedName>
    <definedName name="距離_Ｃ大阪_清水">J1_距離!$N$17</definedName>
    <definedName name="距離_Ｃ大阪_川崎Ｆ">J1_距離!$H$17</definedName>
    <definedName name="距離_Ｃ大阪_町田">J1_距離!$G$17</definedName>
    <definedName name="距離_Ｃ大阪_東京Ｖ">J1_距離!$F$17</definedName>
    <definedName name="距離_Ｃ大阪_柏">J1_距離!$D$17</definedName>
    <definedName name="距離_Ｃ大阪_福岡">J1_距離!$W$17</definedName>
    <definedName name="距離_Ｃ大阪_名古屋">J1_距離!$P$17</definedName>
    <definedName name="距離_FC東京_Ｃ大阪">J1_距離!$S$5</definedName>
    <definedName name="距離_FC東京_FC東京">J1_距離!$E$5</definedName>
    <definedName name="距離_FC東京_Ｇ大阪">J1_距離!$R$5</definedName>
    <definedName name="距離_FC東京_浦和">J1_距離!$C$5</definedName>
    <definedName name="距離_FC東京_横浜FC">J1_距離!$K$5</definedName>
    <definedName name="距離_FC東京_横浜FM">J1_距離!$I$5</definedName>
    <definedName name="距離_FC東京_岡山">J1_距離!$U$5</definedName>
    <definedName name="距離_FC東京_京都">J1_距離!$Q$5</definedName>
    <definedName name="距離_FC東京_広島">J1_距離!$V$5</definedName>
    <definedName name="距離_FC東京_鹿島">J1_距離!$B$5</definedName>
    <definedName name="距離_FC東京_湘南">J1_距離!$L$5</definedName>
    <definedName name="距離_FC東京_新潟">J1_距離!$M$5</definedName>
    <definedName name="距離_FC東京_神戸">J1_距離!$T$5</definedName>
    <definedName name="距離_FC東京_清水">J1_距離!$N$5</definedName>
    <definedName name="距離_FC東京_川崎Ｆ">J1_距離!$H$5</definedName>
    <definedName name="距離_FC東京_町田">J1_距離!$G$5</definedName>
    <definedName name="距離_FC東京_東京Ｖ">J1_距離!$F$5</definedName>
    <definedName name="距離_FC東京_柏">J1_距離!$D$5</definedName>
    <definedName name="距離_FC東京_福岡">J1_距離!$W$5</definedName>
    <definedName name="距離_FC東京_名古屋">J1_距離!$P$5</definedName>
    <definedName name="距離_Ｇ大阪_Ｃ大阪">J1_距離!$S$16</definedName>
    <definedName name="距離_Ｇ大阪_FC東京">J1_距離!$E$16</definedName>
    <definedName name="距離_Ｇ大阪_Ｇ大阪">J1_距離!$R$16</definedName>
    <definedName name="距離_Ｇ大阪_浦和">J1_距離!$C$16</definedName>
    <definedName name="距離_Ｇ大阪_横浜FC">J1_距離!$K$16</definedName>
    <definedName name="距離_Ｇ大阪_横浜FM">J1_距離!$I$16</definedName>
    <definedName name="距離_Ｇ大阪_岡山">J1_距離!$U$16</definedName>
    <definedName name="距離_Ｇ大阪_京都">J1_距離!$Q$16</definedName>
    <definedName name="距離_Ｇ大阪_広島">J1_距離!$V$16</definedName>
    <definedName name="距離_Ｇ大阪_鹿島">J1_距離!$B$16</definedName>
    <definedName name="距離_Ｇ大阪_湘南">J1_距離!$L$16</definedName>
    <definedName name="距離_Ｇ大阪_新潟">J1_距離!$M$16</definedName>
    <definedName name="距離_Ｇ大阪_神戸">J1_距離!$T$16</definedName>
    <definedName name="距離_Ｇ大阪_清水">J1_距離!$N$16</definedName>
    <definedName name="距離_Ｇ大阪_川崎Ｆ">J1_距離!$H$16</definedName>
    <definedName name="距離_Ｇ大阪_町田">J1_距離!$G$16</definedName>
    <definedName name="距離_Ｇ大阪_東京Ｖ">J1_距離!$F$16</definedName>
    <definedName name="距離_Ｇ大阪_柏">J1_距離!$D$16</definedName>
    <definedName name="距離_Ｇ大阪_福岡">J1_距離!$W$16</definedName>
    <definedName name="距離_Ｇ大阪_名古屋">J1_距離!$P$16</definedName>
    <definedName name="距離_浦和_Ｃ大阪">J1_距離!$S$3</definedName>
    <definedName name="距離_浦和_FC東京">J1_距離!$E$3</definedName>
    <definedName name="距離_浦和_Ｇ大阪">J1_距離!$R$3</definedName>
    <definedName name="距離_浦和_浦和">J1_距離!$C$3</definedName>
    <definedName name="距離_浦和_横浜FC">J1_距離!$K$3</definedName>
    <definedName name="距離_浦和_横浜FM">J1_距離!$I$3</definedName>
    <definedName name="距離_浦和_岡山">J1_距離!$U$3</definedName>
    <definedName name="距離_浦和_京都">J1_距離!$Q$3</definedName>
    <definedName name="距離_浦和_広島">J1_距離!$V$3</definedName>
    <definedName name="距離_浦和_鹿島">J1_距離!$B$3</definedName>
    <definedName name="距離_浦和_湘南">J1_距離!$L$3</definedName>
    <definedName name="距離_浦和_新潟">J1_距離!$M$3</definedName>
    <definedName name="距離_浦和_神戸">J1_距離!$T$3</definedName>
    <definedName name="距離_浦和_清水">J1_距離!$N$3</definedName>
    <definedName name="距離_浦和_川崎Ｆ">J1_距離!$H$3</definedName>
    <definedName name="距離_浦和_町田">J1_距離!$G$3</definedName>
    <definedName name="距離_浦和_東京Ｖ">J1_距離!$F$3</definedName>
    <definedName name="距離_浦和_柏">J1_距離!$D$3</definedName>
    <definedName name="距離_浦和_福岡">J1_距離!$W$3</definedName>
    <definedName name="距離_浦和_名古屋">J1_距離!$P$3</definedName>
    <definedName name="距離_横浜FC_Ｃ大阪">J1_距離!$S$10</definedName>
    <definedName name="距離_横浜FC_FC東京">J1_距離!$E$10</definedName>
    <definedName name="距離_横浜FC_Ｇ大阪">J1_距離!$R$10</definedName>
    <definedName name="距離_横浜FC_浦和">J1_距離!$C$10</definedName>
    <definedName name="距離_横浜FC_横浜FC">J1_距離!$K$10</definedName>
    <definedName name="距離_横浜FC_横浜FM">J1_距離!$I$10</definedName>
    <definedName name="距離_横浜FC_岡山">J1_距離!$U$10</definedName>
    <definedName name="距離_横浜FC_京都">J1_距離!$Q$10</definedName>
    <definedName name="距離_横浜FC_広島">J1_距離!$V$10</definedName>
    <definedName name="距離_横浜FC_鹿島">J1_距離!$B$10</definedName>
    <definedName name="距離_横浜FC_湘南">J1_距離!$L$10</definedName>
    <definedName name="距離_横浜FC_新潟">J1_距離!$M$10</definedName>
    <definedName name="距離_横浜FC_神戸">J1_距離!$T$10</definedName>
    <definedName name="距離_横浜FC_清水">J1_距離!$N$10</definedName>
    <definedName name="距離_横浜FC_川崎Ｆ">J1_距離!$H$10</definedName>
    <definedName name="距離_横浜FC_町田">J1_距離!$G$10</definedName>
    <definedName name="距離_横浜FC_東京Ｖ">J1_距離!$F$10</definedName>
    <definedName name="距離_横浜FC_柏">J1_距離!$D$10</definedName>
    <definedName name="距離_横浜FC_福岡">J1_距離!$W$10</definedName>
    <definedName name="距離_横浜FC_名古屋">J1_距離!$P$10</definedName>
    <definedName name="距離_横浜FM_Ｃ大阪">J1_距離!$S$9</definedName>
    <definedName name="距離_横浜FM_FC東京">J1_距離!$E$9</definedName>
    <definedName name="距離_横浜FM_Ｇ大阪">J1_距離!$R$9</definedName>
    <definedName name="距離_横浜FM_浦和">J1_距離!$C$9</definedName>
    <definedName name="距離_横浜FM_横浜FC">J1_距離!$K$9</definedName>
    <definedName name="距離_横浜FM_横浜FM">J1_距離!$I$9</definedName>
    <definedName name="距離_横浜FM_岡山">J1_距離!$U$9</definedName>
    <definedName name="距離_横浜FM_京都">J1_距離!$Q$9</definedName>
    <definedName name="距離_横浜FM_広島">J1_距離!$V$9</definedName>
    <definedName name="距離_横浜FM_鹿島">J1_距離!$B$9</definedName>
    <definedName name="距離_横浜FM_湘南">J1_距離!$L$9</definedName>
    <definedName name="距離_横浜FM_新潟">J1_距離!$M$9</definedName>
    <definedName name="距離_横浜FM_神戸">J1_距離!$T$9</definedName>
    <definedName name="距離_横浜FM_清水">J1_距離!$N$9</definedName>
    <definedName name="距離_横浜FM_川崎Ｆ">J1_距離!$H$9</definedName>
    <definedName name="距離_横浜FM_町田">J1_距離!$G$9</definedName>
    <definedName name="距離_横浜FM_東京Ｖ">J1_距離!$F$9</definedName>
    <definedName name="距離_横浜FM_柏">J1_距離!$D$9</definedName>
    <definedName name="距離_横浜FM_福岡">J1_距離!$W$9</definedName>
    <definedName name="距離_横浜FM_名古屋">J1_距離!$P$9</definedName>
    <definedName name="距離_岡山_Ｃ大阪">J1_距離!$S$19</definedName>
    <definedName name="距離_岡山_FC東京">J1_距離!$E$19</definedName>
    <definedName name="距離_岡山_Ｇ大阪">J1_距離!$R$19</definedName>
    <definedName name="距離_岡山_浦和">J1_距離!$C$19</definedName>
    <definedName name="距離_岡山_横浜FC">J1_距離!$K$19</definedName>
    <definedName name="距離_岡山_横浜FM">J1_距離!$I$19</definedName>
    <definedName name="距離_岡山_岡山">J1_距離!$U$19</definedName>
    <definedName name="距離_岡山_京都">J1_距離!$Q$19</definedName>
    <definedName name="距離_岡山_広島">J1_距離!$V$19</definedName>
    <definedName name="距離_岡山_鹿島">J1_距離!$B$19</definedName>
    <definedName name="距離_岡山_湘南">J1_距離!$L$19</definedName>
    <definedName name="距離_岡山_新潟">J1_距離!$M$19</definedName>
    <definedName name="距離_岡山_神戸">J1_距離!$T$19</definedName>
    <definedName name="距離_岡山_清水">J1_距離!$N$19</definedName>
    <definedName name="距離_岡山_川崎Ｆ">J1_距離!$H$19</definedName>
    <definedName name="距離_岡山_町田">J1_距離!$G$19</definedName>
    <definedName name="距離_岡山_東京Ｖ">J1_距離!$F$19</definedName>
    <definedName name="距離_岡山_柏">J1_距離!$D$19</definedName>
    <definedName name="距離_岡山_福岡">J1_距離!$W$19</definedName>
    <definedName name="距離_岡山_名古屋">J1_距離!$P$19</definedName>
    <definedName name="距離_京都_Ｃ大阪">J1_距離!$S$15</definedName>
    <definedName name="距離_京都_FC東京">J1_距離!$E$15</definedName>
    <definedName name="距離_京都_Ｇ大阪">J1_距離!$R$15</definedName>
    <definedName name="距離_京都_浦和">J1_距離!$C$15</definedName>
    <definedName name="距離_京都_横浜FC">J1_距離!$K$15</definedName>
    <definedName name="距離_京都_横浜FM">J1_距離!$I$15</definedName>
    <definedName name="距離_京都_岡山">J1_距離!$U$15</definedName>
    <definedName name="距離_京都_京都">J1_距離!$Q$15</definedName>
    <definedName name="距離_京都_広島">J1_距離!$V$15</definedName>
    <definedName name="距離_京都_鹿島">J1_距離!$B$15</definedName>
    <definedName name="距離_京都_湘南">J1_距離!$L$15</definedName>
    <definedName name="距離_京都_新潟">J1_距離!$M$15</definedName>
    <definedName name="距離_京都_神戸">J1_距離!$T$15</definedName>
    <definedName name="距離_京都_清水">J1_距離!$N$15</definedName>
    <definedName name="距離_京都_川崎Ｆ">J1_距離!$H$15</definedName>
    <definedName name="距離_京都_町田">J1_距離!$G$15</definedName>
    <definedName name="距離_京都_東京Ｖ">J1_距離!$F$15</definedName>
    <definedName name="距離_京都_柏">J1_距離!$D$15</definedName>
    <definedName name="距離_京都_福岡">J1_距離!$W$15</definedName>
    <definedName name="距離_京都_名古屋">J1_距離!$P$15</definedName>
    <definedName name="距離_広島_Ｃ大阪">J1_距離!$S$20</definedName>
    <definedName name="距離_広島_FC東京">J1_距離!$E$20</definedName>
    <definedName name="距離_広島_Ｇ大阪">J1_距離!$R$20</definedName>
    <definedName name="距離_広島_浦和">J1_距離!$C$20</definedName>
    <definedName name="距離_広島_横浜FC">J1_距離!$K$20</definedName>
    <definedName name="距離_広島_横浜FM">J1_距離!$I$20</definedName>
    <definedName name="距離_広島_岡山">J1_距離!$U$20</definedName>
    <definedName name="距離_広島_京都">J1_距離!$Q$20</definedName>
    <definedName name="距離_広島_広島">J1_距離!$V$20</definedName>
    <definedName name="距離_広島_鹿島">J1_距離!$B$20</definedName>
    <definedName name="距離_広島_湘南">J1_距離!$L$20</definedName>
    <definedName name="距離_広島_新潟">J1_距離!$M$20</definedName>
    <definedName name="距離_広島_神戸">J1_距離!$T$20</definedName>
    <definedName name="距離_広島_清水">J1_距離!$N$20</definedName>
    <definedName name="距離_広島_川崎Ｆ">J1_距離!$H$20</definedName>
    <definedName name="距離_広島_町田">J1_距離!$G$20</definedName>
    <definedName name="距離_広島_東京Ｖ">J1_距離!$F$20</definedName>
    <definedName name="距離_広島_柏">J1_距離!$D$20</definedName>
    <definedName name="距離_広島_福岡">J1_距離!$W$20</definedName>
    <definedName name="距離_広島_名古屋">J1_距離!$P$20</definedName>
    <definedName name="距離_鹿島_Ｃ大阪">J1_距離!$S$2</definedName>
    <definedName name="距離_鹿島_FC東京">J1_距離!$E$2</definedName>
    <definedName name="距離_鹿島_Ｇ大阪">J1_距離!$R$2</definedName>
    <definedName name="距離_鹿島_浦和">J1_距離!$C$2</definedName>
    <definedName name="距離_鹿島_横浜FC">J1_距離!$K$2</definedName>
    <definedName name="距離_鹿島_横浜FM">J1_距離!$I$2</definedName>
    <definedName name="距離_鹿島_岡山">J1_距離!$U$2</definedName>
    <definedName name="距離_鹿島_京都">J1_距離!$Q$2</definedName>
    <definedName name="距離_鹿島_広島">J1_距離!$V$2</definedName>
    <definedName name="距離_鹿島_鹿島">J1_距離!$B$2</definedName>
    <definedName name="距離_鹿島_湘南">J1_距離!$L$2</definedName>
    <definedName name="距離_鹿島_新潟">J1_距離!$M$2</definedName>
    <definedName name="距離_鹿島_神戸">J1_距離!$T$2</definedName>
    <definedName name="距離_鹿島_清水">J1_距離!$N$2</definedName>
    <definedName name="距離_鹿島_川崎Ｆ">J1_距離!$H$2</definedName>
    <definedName name="距離_鹿島_町田">J1_距離!$G$2</definedName>
    <definedName name="距離_鹿島_東京Ｖ">J1_距離!$F$2</definedName>
    <definedName name="距離_鹿島_柏">J1_距離!$D$2</definedName>
    <definedName name="距離_鹿島_福岡">J1_距離!$W$2</definedName>
    <definedName name="距離_鹿島_名古屋">J1_距離!$P$2</definedName>
    <definedName name="距離_湘南_Ｃ大阪">J1_距離!$S$11</definedName>
    <definedName name="距離_湘南_FC東京">J1_距離!$E$11</definedName>
    <definedName name="距離_湘南_Ｇ大阪">J1_距離!$R$11</definedName>
    <definedName name="距離_湘南_浦和">J1_距離!$C$11</definedName>
    <definedName name="距離_湘南_横浜FC">J1_距離!$K$11</definedName>
    <definedName name="距離_湘南_横浜FM">J1_距離!$I$11</definedName>
    <definedName name="距離_湘南_岡山">J1_距離!$U$11</definedName>
    <definedName name="距離_湘南_京都">J1_距離!$Q$11</definedName>
    <definedName name="距離_湘南_広島">J1_距離!$V$11</definedName>
    <definedName name="距離_湘南_鹿島">J1_距離!$B$11</definedName>
    <definedName name="距離_湘南_湘南">J1_距離!$L$11</definedName>
    <definedName name="距離_湘南_新潟">J1_距離!$M$11</definedName>
    <definedName name="距離_湘南_神戸">J1_距離!$T$11</definedName>
    <definedName name="距離_湘南_清水">J1_距離!$N$11</definedName>
    <definedName name="距離_湘南_川崎Ｆ">J1_距離!$H$11</definedName>
    <definedName name="距離_湘南_町田">J1_距離!$G$11</definedName>
    <definedName name="距離_湘南_東京Ｖ">J1_距離!$F$11</definedName>
    <definedName name="距離_湘南_柏">J1_距離!$D$11</definedName>
    <definedName name="距離_湘南_福岡">J1_距離!$W$11</definedName>
    <definedName name="距離_湘南_名古屋">J1_距離!$P$11</definedName>
    <definedName name="距離_新潟_Ｃ大阪">J1_距離!$S$12</definedName>
    <definedName name="距離_新潟_FC東京">J1_距離!$E$12</definedName>
    <definedName name="距離_新潟_Ｇ大阪">J1_距離!$R$12</definedName>
    <definedName name="距離_新潟_浦和">J1_距離!$C$12</definedName>
    <definedName name="距離_新潟_横浜FC">J1_距離!$K$12</definedName>
    <definedName name="距離_新潟_横浜FM">J1_距離!$I$12</definedName>
    <definedName name="距離_新潟_岡山">J1_距離!$U$12</definedName>
    <definedName name="距離_新潟_京都">J1_距離!$Q$12</definedName>
    <definedName name="距離_新潟_広島">J1_距離!$V$12</definedName>
    <definedName name="距離_新潟_鹿島">J1_距離!$B$12</definedName>
    <definedName name="距離_新潟_湘南">J1_距離!$L$12</definedName>
    <definedName name="距離_新潟_新潟">J1_距離!$M$12</definedName>
    <definedName name="距離_新潟_神戸">J1_距離!$T$12</definedName>
    <definedName name="距離_新潟_清水">J1_距離!$N$12</definedName>
    <definedName name="距離_新潟_川崎Ｆ">J1_距離!$H$12</definedName>
    <definedName name="距離_新潟_町田">J1_距離!$G$12</definedName>
    <definedName name="距離_新潟_東京Ｖ">J1_距離!$F$12</definedName>
    <definedName name="距離_新潟_柏">J1_距離!$D$12</definedName>
    <definedName name="距離_新潟_福岡">J1_距離!$W$12</definedName>
    <definedName name="距離_新潟_名古屋">J1_距離!$P$12</definedName>
    <definedName name="距離_神戸_Ｃ大阪">J1_距離!$S$18</definedName>
    <definedName name="距離_神戸_FC東京">J1_距離!$E$18</definedName>
    <definedName name="距離_神戸_Ｇ大阪">J1_距離!$R$18</definedName>
    <definedName name="距離_神戸_浦和">J1_距離!$C$18</definedName>
    <definedName name="距離_神戸_横浜FC">J1_距離!$K$18</definedName>
    <definedName name="距離_神戸_横浜FM">J1_距離!$I$18</definedName>
    <definedName name="距離_神戸_岡山">J1_距離!$U$18</definedName>
    <definedName name="距離_神戸_京都">J1_距離!$Q$18</definedName>
    <definedName name="距離_神戸_広島">J1_距離!$V$18</definedName>
    <definedName name="距離_神戸_鹿島">J1_距離!$B$18</definedName>
    <definedName name="距離_神戸_湘南">J1_距離!$L$18</definedName>
    <definedName name="距離_神戸_新潟">J1_距離!$M$18</definedName>
    <definedName name="距離_神戸_神戸">J1_距離!$T$18</definedName>
    <definedName name="距離_神戸_清水">J1_距離!$N$18</definedName>
    <definedName name="距離_神戸_川崎Ｆ">J1_距離!$H$18</definedName>
    <definedName name="距離_神戸_町田">J1_距離!$G$18</definedName>
    <definedName name="距離_神戸_東京Ｖ">J1_距離!$F$18</definedName>
    <definedName name="距離_神戸_柏">J1_距離!$D$18</definedName>
    <definedName name="距離_神戸_福岡">J1_距離!$W$18</definedName>
    <definedName name="距離_神戸_名古屋">J1_距離!$P$18</definedName>
    <definedName name="距離_清水_Ｃ大阪">J1_距離!$S$13</definedName>
    <definedName name="距離_清水_FC東京">J1_距離!$E$13</definedName>
    <definedName name="距離_清水_Ｇ大阪">J1_距離!$R$13</definedName>
    <definedName name="距離_清水_浦和">J1_距離!$C$13</definedName>
    <definedName name="距離_清水_横浜FC">J1_距離!$K$13</definedName>
    <definedName name="距離_清水_横浜FM">J1_距離!$I$13</definedName>
    <definedName name="距離_清水_岡山">J1_距離!$U$13</definedName>
    <definedName name="距離_清水_京都">J1_距離!$Q$13</definedName>
    <definedName name="距離_清水_広島">J1_距離!$V$13</definedName>
    <definedName name="距離_清水_鹿島">J1_距離!$B$13</definedName>
    <definedName name="距離_清水_湘南">J1_距離!$L$13</definedName>
    <definedName name="距離_清水_新潟">J1_距離!$M$13</definedName>
    <definedName name="距離_清水_神戸">J1_距離!$T$13</definedName>
    <definedName name="距離_清水_清水">J1_距離!$N$13</definedName>
    <definedName name="距離_清水_川崎Ｆ">J1_距離!$H$13</definedName>
    <definedName name="距離_清水_町田">J1_距離!$G$13</definedName>
    <definedName name="距離_清水_東京Ｖ">J1_距離!$F$13</definedName>
    <definedName name="距離_清水_柏">J1_距離!$D$13</definedName>
    <definedName name="距離_清水_福岡">J1_距離!$W$13</definedName>
    <definedName name="距離_清水_名古屋">J1_距離!$P$13</definedName>
    <definedName name="距離_川崎Ｆ_Ｃ大阪">J1_距離!$S$8</definedName>
    <definedName name="距離_川崎Ｆ_FC東京">J1_距離!$E$8</definedName>
    <definedName name="距離_川崎Ｆ_Ｇ大阪">J1_距離!$R$8</definedName>
    <definedName name="距離_川崎Ｆ_浦和">J1_距離!$C$8</definedName>
    <definedName name="距離_川崎Ｆ_横浜FC">J1_距離!$K$8</definedName>
    <definedName name="距離_川崎Ｆ_横浜FM">J1_距離!$I$8</definedName>
    <definedName name="距離_川崎Ｆ_岡山">J1_距離!$U$8</definedName>
    <definedName name="距離_川崎Ｆ_京都">J1_距離!$Q$8</definedName>
    <definedName name="距離_川崎Ｆ_広島">J1_距離!$V$8</definedName>
    <definedName name="距離_川崎Ｆ_鹿島">J1_距離!$B$8</definedName>
    <definedName name="距離_川崎Ｆ_湘南">J1_距離!$L$8</definedName>
    <definedName name="距離_川崎Ｆ_新潟">J1_距離!$M$8</definedName>
    <definedName name="距離_川崎Ｆ_神戸">J1_距離!$T$8</definedName>
    <definedName name="距離_川崎Ｆ_清水">J1_距離!$N$8</definedName>
    <definedName name="距離_川崎Ｆ_川崎Ｆ">J1_距離!$H$8</definedName>
    <definedName name="距離_川崎Ｆ_町田">J1_距離!$G$8</definedName>
    <definedName name="距離_川崎Ｆ_東京Ｖ">J1_距離!$F$8</definedName>
    <definedName name="距離_川崎Ｆ_柏">J1_距離!$D$8</definedName>
    <definedName name="距離_川崎Ｆ_福岡">J1_距離!$W$8</definedName>
    <definedName name="距離_川崎Ｆ_名古屋">J1_距離!$P$8</definedName>
    <definedName name="距離_町田_Ｃ大阪">J1_距離!$S$7</definedName>
    <definedName name="距離_町田_FC東京">J1_距離!$E$7</definedName>
    <definedName name="距離_町田_Ｇ大阪">J1_距離!$R$7</definedName>
    <definedName name="距離_町田_浦和">J1_距離!$C$7</definedName>
    <definedName name="距離_町田_横浜FC">J1_距離!$K$7</definedName>
    <definedName name="距離_町田_横浜FM">J1_距離!$I$7</definedName>
    <definedName name="距離_町田_岡山">J1_距離!$U$7</definedName>
    <definedName name="距離_町田_京都">J1_距離!$Q$7</definedName>
    <definedName name="距離_町田_広島">J1_距離!$V$7</definedName>
    <definedName name="距離_町田_鹿島">J1_距離!$B$7</definedName>
    <definedName name="距離_町田_湘南">J1_距離!$L$7</definedName>
    <definedName name="距離_町田_新潟">J1_距離!$M$7</definedName>
    <definedName name="距離_町田_神戸">J1_距離!$T$7</definedName>
    <definedName name="距離_町田_清水">J1_距離!$N$7</definedName>
    <definedName name="距離_町田_川崎Ｆ">J1_距離!$H$7</definedName>
    <definedName name="距離_町田_町田">J1_距離!$G$7</definedName>
    <definedName name="距離_町田_東京Ｖ">J1_距離!$F$7</definedName>
    <definedName name="距離_町田_柏">J1_距離!$D$7</definedName>
    <definedName name="距離_町田_福岡">J1_距離!$W$7</definedName>
    <definedName name="距離_町田_名古屋">J1_距離!$P$7</definedName>
    <definedName name="距離_東京Ｖ_Ｃ大阪">J1_距離!$S$6</definedName>
    <definedName name="距離_東京Ｖ_FC東京">J1_距離!$E$6</definedName>
    <definedName name="距離_東京Ｖ_Ｇ大阪">J1_距離!$R$6</definedName>
    <definedName name="距離_東京Ｖ_浦和">J1_距離!$C$6</definedName>
    <definedName name="距離_東京Ｖ_横浜FC">J1_距離!$K$6</definedName>
    <definedName name="距離_東京Ｖ_横浜FM">J1_距離!$I$6</definedName>
    <definedName name="距離_東京Ｖ_岡山">J1_距離!$U$6</definedName>
    <definedName name="距離_東京Ｖ_京都">J1_距離!$Q$6</definedName>
    <definedName name="距離_東京Ｖ_広島">J1_距離!$V$6</definedName>
    <definedName name="距離_東京Ｖ_鹿島">J1_距離!$B$6</definedName>
    <definedName name="距離_東京Ｖ_湘南">J1_距離!$L$6</definedName>
    <definedName name="距離_東京Ｖ_新潟">J1_距離!$M$6</definedName>
    <definedName name="距離_東京Ｖ_神戸">J1_距離!$T$6</definedName>
    <definedName name="距離_東京Ｖ_清水">J1_距離!$N$6</definedName>
    <definedName name="距離_東京Ｖ_川崎Ｆ">J1_距離!$H$6</definedName>
    <definedName name="距離_東京Ｖ_町田">J1_距離!$G$6</definedName>
    <definedName name="距離_東京Ｖ_東京Ｖ">J1_距離!$F$6</definedName>
    <definedName name="距離_東京Ｖ_柏">J1_距離!$D$6</definedName>
    <definedName name="距離_東京Ｖ_福岡">J1_距離!$W$6</definedName>
    <definedName name="距離_東京Ｖ_名古屋">J1_距離!$P$6</definedName>
    <definedName name="距離_柏_Ｃ大阪">J1_距離!$S$4</definedName>
    <definedName name="距離_柏_FC東京">J1_距離!$E$4</definedName>
    <definedName name="距離_柏_Ｇ大阪">J1_距離!$R$4</definedName>
    <definedName name="距離_柏_浦和">J1_距離!$C$4</definedName>
    <definedName name="距離_柏_横浜FC">J1_距離!$K$4</definedName>
    <definedName name="距離_柏_横浜FM">J1_距離!$I$4</definedName>
    <definedName name="距離_柏_岡山">J1_距離!$U$4</definedName>
    <definedName name="距離_柏_京都">J1_距離!$Q$4</definedName>
    <definedName name="距離_柏_広島">J1_距離!$V$4</definedName>
    <definedName name="距離_柏_鹿島">J1_距離!$B$4</definedName>
    <definedName name="距離_柏_湘南">J1_距離!$L$4</definedName>
    <definedName name="距離_柏_新潟">J1_距離!$M$4</definedName>
    <definedName name="距離_柏_神戸">J1_距離!$T$4</definedName>
    <definedName name="距離_柏_清水">J1_距離!$N$4</definedName>
    <definedName name="距離_柏_川崎Ｆ">J1_距離!$H$4</definedName>
    <definedName name="距離_柏_町田">J1_距離!$G$4</definedName>
    <definedName name="距離_柏_東京Ｖ">J1_距離!$F$4</definedName>
    <definedName name="距離_柏_柏">J1_距離!$D$4</definedName>
    <definedName name="距離_柏_福岡">J1_距離!$W$4</definedName>
    <definedName name="距離_柏_名古屋">J1_距離!$P$4</definedName>
    <definedName name="距離_福岡_Ｃ大阪">J1_距離!$S$21</definedName>
    <definedName name="距離_福岡_FC東京">J1_距離!$E$21</definedName>
    <definedName name="距離_福岡_Ｇ大阪">J1_距離!$R$21</definedName>
    <definedName name="距離_福岡_浦和">J1_距離!$C$21</definedName>
    <definedName name="距離_福岡_横浜FC">J1_距離!$K$21</definedName>
    <definedName name="距離_福岡_横浜FM">J1_距離!$I$21</definedName>
    <definedName name="距離_福岡_岡山">J1_距離!$U$21</definedName>
    <definedName name="距離_福岡_京都">J1_距離!$Q$21</definedName>
    <definedName name="距離_福岡_広島">J1_距離!$V$21</definedName>
    <definedName name="距離_福岡_鹿島">J1_距離!$B$21</definedName>
    <definedName name="距離_福岡_湘南">J1_距離!$L$21</definedName>
    <definedName name="距離_福岡_新潟">J1_距離!$M$21</definedName>
    <definedName name="距離_福岡_神戸">J1_距離!$T$21</definedName>
    <definedName name="距離_福岡_清水">J1_距離!$N$21</definedName>
    <definedName name="距離_福岡_川崎Ｆ">J1_距離!$H$21</definedName>
    <definedName name="距離_福岡_町田">J1_距離!$G$21</definedName>
    <definedName name="距離_福岡_東京Ｖ">J1_距離!$F$21</definedName>
    <definedName name="距離_福岡_柏">J1_距離!$D$21</definedName>
    <definedName name="距離_福岡_福岡">J1_距離!$W$21</definedName>
    <definedName name="距離_福岡_名古屋">J1_距離!$P$21</definedName>
    <definedName name="距離_名古屋_Ｃ大阪">J1_距離!$S$14</definedName>
    <definedName name="距離_名古屋_FC東京">J1_距離!$E$14</definedName>
    <definedName name="距離_名古屋_Ｇ大阪">J1_距離!$R$14</definedName>
    <definedName name="距離_名古屋_浦和">J1_距離!$C$14</definedName>
    <definedName name="距離_名古屋_横浜FC">J1_距離!$K$14</definedName>
    <definedName name="距離_名古屋_横浜FM">J1_距離!$I$14</definedName>
    <definedName name="距離_名古屋_岡山">J1_距離!$U$14</definedName>
    <definedName name="距離_名古屋_京都">J1_距離!$Q$14</definedName>
    <definedName name="距離_名古屋_広島">J1_距離!$V$14</definedName>
    <definedName name="距離_名古屋_鹿島">J1_距離!$B$14</definedName>
    <definedName name="距離_名古屋_湘南">J1_距離!$L$14</definedName>
    <definedName name="距離_名古屋_新潟">J1_距離!$M$14</definedName>
    <definedName name="距離_名古屋_神戸">J1_距離!$T$14</definedName>
    <definedName name="距離_名古屋_清水">J1_距離!$N$14</definedName>
    <definedName name="距離_名古屋_川崎Ｆ">J1_距離!$H$14</definedName>
    <definedName name="距離_名古屋_町田">J1_距離!$G$14</definedName>
    <definedName name="距離_名古屋_東京Ｖ">J1_距離!$F$14</definedName>
    <definedName name="距離_名古屋_柏">J1_距離!$D$14</definedName>
    <definedName name="距離_名古屋_福岡">J1_距離!$W$14</definedName>
    <definedName name="距離_名古屋_名古屋">J1_距離!$P$14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1" i="1" l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30" i="1"/>
  <c r="S30" i="1" a="1"/>
  <c r="S30" i="1" s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30" i="1"/>
  <c r="J30" i="1"/>
  <c r="J34" i="1"/>
  <c r="J31" i="1"/>
  <c r="J32" i="1"/>
  <c r="J33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S31" i="1" a="1"/>
  <c r="S31" i="1" s="1"/>
  <c r="S36" i="1" a="1"/>
  <c r="S36" i="1" s="1"/>
  <c r="S37" i="1" a="1"/>
  <c r="S37" i="1" s="1"/>
  <c r="S38" i="1" a="1"/>
  <c r="S38" i="1" s="1"/>
  <c r="S39" i="1" a="1"/>
  <c r="S39" i="1" s="1"/>
  <c r="S42" i="1" a="1"/>
  <c r="S42" i="1" s="1"/>
  <c r="S47" i="1" a="1"/>
  <c r="S47" i="1" s="1"/>
  <c r="S48" i="1" a="1"/>
  <c r="S48" i="1" s="1"/>
  <c r="S49" i="1" a="1"/>
  <c r="S49" i="1" s="1"/>
  <c r="N32" i="1" a="1"/>
  <c r="N32" i="1" s="1"/>
  <c r="N37" i="1" a="1"/>
  <c r="N37" i="1" s="1"/>
  <c r="N38" i="1" a="1"/>
  <c r="N38" i="1" s="1"/>
  <c r="N41" i="1" a="1"/>
  <c r="N41" i="1" s="1"/>
  <c r="N43" i="1" a="1"/>
  <c r="N43" i="1" s="1"/>
  <c r="N44" i="1" a="1"/>
  <c r="N44" i="1" s="1"/>
  <c r="N45" i="1" a="1"/>
  <c r="N45" i="1" s="1"/>
  <c r="N46" i="1" a="1"/>
  <c r="N46" i="1" s="1"/>
  <c r="I31" i="1" a="1"/>
  <c r="I31" i="1" s="1"/>
  <c r="I34" i="1" a="1"/>
  <c r="I34" i="1" s="1"/>
  <c r="I35" i="1" a="1"/>
  <c r="I35" i="1" s="1"/>
  <c r="I36" i="1" a="1"/>
  <c r="I36" i="1" s="1"/>
  <c r="I40" i="1" a="1"/>
  <c r="I40" i="1" s="1"/>
  <c r="I41" i="1" a="1"/>
  <c r="I41" i="1" s="1"/>
  <c r="I42" i="1" a="1"/>
  <c r="I42" i="1" s="1"/>
  <c r="I45" i="1" a="1"/>
  <c r="I45" i="1" s="1"/>
  <c r="I47" i="1" a="1"/>
  <c r="I47" i="1" s="1"/>
  <c r="I49" i="1" a="1"/>
  <c r="I49" i="1" s="1"/>
  <c r="E32" i="1" a="1"/>
  <c r="E32" i="1" s="1"/>
  <c r="E33" i="1" a="1"/>
  <c r="E33" i="1" s="1"/>
  <c r="E34" i="1" a="1"/>
  <c r="E34" i="1" s="1"/>
  <c r="E35" i="1" a="1"/>
  <c r="E35" i="1" s="1"/>
  <c r="E39" i="1" a="1"/>
  <c r="E39" i="1" s="1"/>
  <c r="E40" i="1" a="1"/>
  <c r="E40" i="1" s="1"/>
  <c r="E43" i="1" a="1"/>
  <c r="E43" i="1" s="1"/>
  <c r="E48" i="1" a="1"/>
  <c r="E48" i="1" s="1"/>
  <c r="E49" i="1" a="1"/>
  <c r="E49" i="1" s="1"/>
  <c r="E30" i="1" a="1"/>
  <c r="E30" i="1" s="1"/>
  <c r="S44" i="1" a="1"/>
  <c r="I43" i="1" a="1"/>
  <c r="E46" i="1" a="1"/>
  <c r="E44" i="1" a="1"/>
  <c r="S46" i="1" a="1"/>
  <c r="I46" i="1" a="1"/>
  <c r="N33" i="1" a="1"/>
  <c r="S34" i="1" a="1"/>
  <c r="I37" i="1" a="1"/>
  <c r="E42" i="1" a="1"/>
  <c r="I44" i="1" a="1"/>
  <c r="S43" i="1" a="1"/>
  <c r="N39" i="1" a="1"/>
  <c r="N31" i="1" a="1"/>
  <c r="N35" i="1" a="1"/>
  <c r="S33" i="1" a="1"/>
  <c r="N42" i="1" a="1"/>
  <c r="E37" i="1" a="1"/>
  <c r="N49" i="1" a="1"/>
  <c r="S35" i="1" a="1"/>
  <c r="N34" i="1" a="1"/>
  <c r="E41" i="1" a="1"/>
  <c r="E47" i="1" a="1"/>
  <c r="N47" i="1" a="1"/>
  <c r="I30" i="1" a="1"/>
  <c r="N40" i="1" a="1"/>
  <c r="N30" i="1" a="1"/>
  <c r="I39" i="1" a="1"/>
  <c r="S40" i="1" a="1"/>
  <c r="S45" i="1" a="1"/>
  <c r="N48" i="1" a="1"/>
  <c r="E36" i="1" a="1"/>
  <c r="I38" i="1" a="1"/>
  <c r="S32" i="1" a="1"/>
  <c r="I33" i="1" a="1"/>
  <c r="E38" i="1" a="1"/>
  <c r="S41" i="1" a="1"/>
  <c r="N36" i="1" a="1"/>
  <c r="E45" i="1" a="1"/>
  <c r="E31" i="1" a="1"/>
  <c r="I48" i="1" a="1"/>
  <c r="I32" i="1" a="1"/>
  <c r="N30" i="1" l="1"/>
  <c r="S46" i="1"/>
  <c r="S44" i="1"/>
  <c r="S40" i="1"/>
  <c r="S34" i="1"/>
  <c r="S32" i="1"/>
  <c r="S45" i="1"/>
  <c r="S43" i="1"/>
  <c r="S41" i="1"/>
  <c r="S35" i="1"/>
  <c r="S33" i="1"/>
  <c r="N48" i="1"/>
  <c r="N40" i="1"/>
  <c r="N36" i="1"/>
  <c r="N34" i="1"/>
  <c r="N42" i="1"/>
  <c r="N49" i="1"/>
  <c r="N47" i="1"/>
  <c r="N39" i="1"/>
  <c r="N35" i="1"/>
  <c r="N33" i="1"/>
  <c r="N31" i="1"/>
  <c r="I48" i="1"/>
  <c r="I44" i="1"/>
  <c r="I38" i="1"/>
  <c r="I32" i="1"/>
  <c r="I46" i="1"/>
  <c r="I43" i="1"/>
  <c r="I39" i="1"/>
  <c r="I37" i="1"/>
  <c r="I33" i="1"/>
  <c r="I30" i="1"/>
  <c r="E46" i="1"/>
  <c r="E44" i="1"/>
  <c r="E42" i="1"/>
  <c r="E38" i="1"/>
  <c r="E36" i="1"/>
  <c r="E47" i="1"/>
  <c r="E45" i="1"/>
  <c r="E41" i="1"/>
  <c r="E37" i="1"/>
  <c r="E3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<sst xmlns="http://schemas.openxmlformats.org/spreadsheetml/2006/main" count="245" uniqueCount="64">
  <si>
    <r>
      <rPr>
        <sz val="11"/>
        <color theme="4"/>
        <rFont val="ＭＳ Ｐゴシック"/>
        <family val="3"/>
        <charset val="128"/>
      </rPr>
      <t>ホーム</t>
    </r>
    <r>
      <rPr>
        <sz val="11"/>
        <color theme="1"/>
        <rFont val="ＭＳ Ｐゴシック"/>
        <family val="2"/>
        <charset val="128"/>
        <scheme val="minor"/>
      </rPr>
      <t>　／　</t>
    </r>
    <r>
      <rPr>
        <sz val="11"/>
        <color theme="9" tint="-0.499984740745262"/>
        <rFont val="ＭＳ Ｐゴシック"/>
        <family val="3"/>
        <charset val="128"/>
      </rPr>
      <t>アウェイ</t>
    </r>
    <phoneticPr fontId="2"/>
  </si>
  <si>
    <t>チーム名</t>
  </si>
  <si>
    <t>H/A_第13節</t>
  </si>
  <si>
    <t>試合日_第13節</t>
  </si>
  <si>
    <t>相手_第13節</t>
  </si>
  <si>
    <t>H/A_第14節</t>
  </si>
  <si>
    <t>試合日_第14節</t>
  </si>
  <si>
    <t>相手_第14節</t>
  </si>
  <si>
    <t>H/A_第15節</t>
  </si>
  <si>
    <t>試合日_第15節</t>
  </si>
  <si>
    <t>相手_第15節</t>
  </si>
  <si>
    <t>H/A_第16節</t>
  </si>
  <si>
    <t>試合日_第16節</t>
  </si>
  <si>
    <t>相手_第16節</t>
  </si>
  <si>
    <t>FC東京</t>
  </si>
  <si>
    <t>アウェイ</t>
  </si>
  <si>
    <t>横浜FC</t>
  </si>
  <si>
    <t>ホーム</t>
  </si>
  <si>
    <t>町田</t>
  </si>
  <si>
    <t>名古屋</t>
  </si>
  <si>
    <t>鹿島</t>
  </si>
  <si>
    <t>湘南</t>
  </si>
  <si>
    <t>福岡</t>
  </si>
  <si>
    <t>川崎Ｆ</t>
  </si>
  <si>
    <t>東京Ｖ</t>
  </si>
  <si>
    <t>岡山</t>
  </si>
  <si>
    <t>柏</t>
  </si>
  <si>
    <t>Ｃ大阪</t>
  </si>
  <si>
    <t>Ｇ大阪</t>
  </si>
  <si>
    <t>清水</t>
  </si>
  <si>
    <t>新潟</t>
  </si>
  <si>
    <t>神戸</t>
  </si>
  <si>
    <t>京都</t>
  </si>
  <si>
    <t>浦和</t>
  </si>
  <si>
    <t>広島</t>
  </si>
  <si>
    <t>横浜FM</t>
  </si>
  <si>
    <t>鹿島</t>
    <phoneticPr fontId="2"/>
  </si>
  <si>
    <t>浦和</t>
    <phoneticPr fontId="2"/>
  </si>
  <si>
    <t>柏</t>
    <phoneticPr fontId="2"/>
  </si>
  <si>
    <t>FC東京</t>
    <phoneticPr fontId="2"/>
  </si>
  <si>
    <t>町田</t>
    <phoneticPr fontId="2"/>
  </si>
  <si>
    <t>湘南</t>
    <phoneticPr fontId="2"/>
  </si>
  <si>
    <t>新潟</t>
    <phoneticPr fontId="2"/>
  </si>
  <si>
    <t>清水</t>
    <phoneticPr fontId="2"/>
  </si>
  <si>
    <t>名古屋</t>
    <phoneticPr fontId="2"/>
  </si>
  <si>
    <t>京都</t>
    <phoneticPr fontId="2"/>
  </si>
  <si>
    <t>神戸</t>
    <phoneticPr fontId="2"/>
  </si>
  <si>
    <t>岡山</t>
    <phoneticPr fontId="2"/>
  </si>
  <si>
    <t>広島</t>
    <phoneticPr fontId="2"/>
  </si>
  <si>
    <t>福岡</t>
    <phoneticPr fontId="2"/>
  </si>
  <si>
    <t>移動距離</t>
    <rPh sb="0" eb="2">
      <t>イドウ</t>
    </rPh>
    <rPh sb="2" eb="4">
      <t>キョリ</t>
    </rPh>
    <phoneticPr fontId="2"/>
  </si>
  <si>
    <t>アキ日数</t>
    <rPh sb="2" eb="4">
      <t>ニッスウ</t>
    </rPh>
    <phoneticPr fontId="2"/>
  </si>
  <si>
    <t>疲労度の指標（案）</t>
  </si>
  <si>
    <t>ロジック例</t>
  </si>
  <si>
    <t>移動距離ポイント</t>
  </si>
  <si>
    <t>300km以上 → +1pt、500km以上 → +2pt</t>
  </si>
  <si>
    <t>連続アウェイ</t>
  </si>
  <si>
    <t>アウェイ連続2試合以上 → +1pt</t>
  </si>
  <si>
    <t>中2日・中3日</t>
  </si>
  <si>
    <t>アキ日数3日以下 → +1pt、2日以下 → +2pt</t>
  </si>
  <si>
    <t>合計疲労スコア</t>
  </si>
  <si>
    <t>? 分析・予想で活かす方法（例）</t>
  </si>
  <si>
    <t>上記の合計値（0?5ptなど）をスコア化</t>
  </si>
  <si>
    <t>GPT提案</t>
    <rPh sb="3" eb="5">
      <t>テイアン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</si>
</sst>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/mm/dd"/>
  </numFmts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4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11"/>
      <color theme="4"/>
      <name val="ＭＳ Ｐゴシック"/>
      <family val="2"/>
      <charset val="128"/>
      <scheme val="minor"/>
    </font>
    <font>
      <sz val="11"/>
      <color theme="9" tint="-0.499984740745262"/>
      <name val="ＭＳ Ｐゴシック"/>
      <family val="3"/>
      <charset val="128"/>
    </font>
    <font>
      <sz val="11"/>
      <color theme="9" tint="-0.499984740745262"/>
      <name val="ＭＳ Ｐゴシック"/>
      <family val="2"/>
      <charset val="128"/>
      <scheme val="minor"/>
    </font>
    <font>
      <b/>
      <sz val="9"/>
      <name val="ＭＳ Ｐゴシック"/>
      <family val="3"/>
      <charset val="128"/>
    </font>
    <font>
      <sz val="9"/>
      <color theme="1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1" xfId="0" applyFont="1" applyBorder="1" applyAlignment="1">
      <alignment horizontal="right" vertical="top"/>
    </xf>
    <xf numFmtId="0" fontId="7" fillId="0" borderId="1" xfId="0" applyFont="1" applyBorder="1" applyAlignment="1">
      <alignment horizontal="left" vertical="top"/>
    </xf>
    <xf numFmtId="0" fontId="1" fillId="2" borderId="0" xfId="0" applyFont="1" applyFill="1"/>
    <xf numFmtId="0" fontId="8" fillId="3" borderId="1" xfId="0" applyFont="1" applyFill="1" applyBorder="1" applyAlignment="1">
      <alignment horizontal="center" vertical="top"/>
    </xf>
    <xf numFmtId="176" fontId="8" fillId="3" borderId="1" xfId="0" applyNumberFormat="1" applyFont="1" applyFill="1" applyBorder="1" applyAlignment="1">
      <alignment horizontal="center" vertical="top"/>
    </xf>
    <xf numFmtId="0" fontId="9" fillId="0" borderId="0" xfId="0" applyFont="1"/>
    <xf numFmtId="176" fontId="9" fillId="0" borderId="0" xfId="0" applyNumberFormat="1" applyFont="1"/>
    <xf numFmtId="0" fontId="8" fillId="4" borderId="1" xfId="0" applyFont="1" applyFill="1" applyBorder="1" applyAlignment="1">
      <alignment horizontal="center" vertical="top"/>
    </xf>
    <xf numFmtId="176" fontId="8" fillId="4" borderId="1" xfId="0" applyNumberFormat="1" applyFont="1" applyFill="1" applyBorder="1" applyAlignment="1">
      <alignment horizontal="center" vertical="top"/>
    </xf>
  </cellXfs>
  <cellStyles count="1">
    <cellStyle name="標準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58"/>
  <sheetViews>
    <sheetView tabSelected="1" topLeftCell="C25" zoomScale="112" zoomScaleNormal="112" workbookViewId="0">
      <selection activeCell="D33" sqref="D33"/>
    </sheetView>
  </sheetViews>
  <sheetFormatPr defaultColWidth="8.77734375" defaultRowHeight="13.2" x14ac:dyDescent="0.2"/>
  <cols>
    <col min="1" max="1" width="13.44140625" style="2" customWidth="1"/>
    <col min="2" max="14" width="8.77734375" style="1"/>
    <col min="15" max="15" width="9.109375" style="1" bestFit="1" customWidth="1"/>
    <col min="16" max="16384" width="8.77734375" style="1"/>
  </cols>
  <sheetData>
    <row r="1" spans="1:23" customFormat="1" x14ac:dyDescent="0.2">
      <c r="A1" s="3" t="s">
        <v>0</v>
      </c>
      <c r="B1" s="5" t="s">
        <v>20</v>
      </c>
      <c r="C1" s="5" t="s">
        <v>33</v>
      </c>
      <c r="D1" s="5" t="s">
        <v>26</v>
      </c>
      <c r="E1" s="5" t="s">
        <v>14</v>
      </c>
      <c r="F1" s="5" t="s">
        <v>24</v>
      </c>
      <c r="G1" s="5" t="s">
        <v>18</v>
      </c>
      <c r="H1" s="5" t="s">
        <v>23</v>
      </c>
      <c r="I1" s="5" t="s">
        <v>35</v>
      </c>
      <c r="J1" s="5"/>
      <c r="K1" s="5" t="s">
        <v>16</v>
      </c>
      <c r="L1" s="5" t="s">
        <v>21</v>
      </c>
      <c r="M1" s="5" t="s">
        <v>30</v>
      </c>
      <c r="N1" s="5" t="s">
        <v>29</v>
      </c>
      <c r="O1" s="5"/>
      <c r="P1" s="5" t="s">
        <v>19</v>
      </c>
      <c r="Q1" s="5" t="s">
        <v>32</v>
      </c>
      <c r="R1" s="5" t="s">
        <v>28</v>
      </c>
      <c r="S1" s="5" t="s">
        <v>27</v>
      </c>
      <c r="T1" s="5" t="s">
        <v>31</v>
      </c>
      <c r="U1" s="5" t="s">
        <v>25</v>
      </c>
      <c r="V1" s="5" t="s">
        <v>34</v>
      </c>
      <c r="W1" s="5" t="s">
        <v>22</v>
      </c>
    </row>
    <row r="2" spans="1:23" x14ac:dyDescent="0.2">
      <c r="A2" s="4" t="s">
        <v>36</v>
      </c>
      <c r="B2" s="6">
        <v>0</v>
      </c>
      <c r="C2" s="1">
        <v>89.9</v>
      </c>
      <c r="D2" s="1">
        <v>62.1</v>
      </c>
      <c r="E2" s="1">
        <v>107.1</v>
      </c>
      <c r="F2" s="1">
        <v>107.1</v>
      </c>
      <c r="G2" s="1">
        <v>119.2</v>
      </c>
      <c r="H2" s="1">
        <v>102.5</v>
      </c>
      <c r="I2" s="1">
        <v>107.9</v>
      </c>
      <c r="K2" s="1">
        <v>115.2</v>
      </c>
      <c r="L2" s="1">
        <v>128.30000000000001</v>
      </c>
      <c r="M2" s="1">
        <v>256.5</v>
      </c>
      <c r="N2" s="1">
        <v>233.5</v>
      </c>
      <c r="P2" s="1">
        <v>351.2</v>
      </c>
      <c r="Q2" s="1">
        <v>456.7</v>
      </c>
      <c r="R2" s="1">
        <v>481.5</v>
      </c>
      <c r="S2" s="1">
        <v>489.6</v>
      </c>
      <c r="T2" s="1">
        <v>515.6</v>
      </c>
      <c r="U2" s="1">
        <v>627.29999999999995</v>
      </c>
      <c r="V2" s="1">
        <v>766.3</v>
      </c>
      <c r="W2" s="1">
        <v>977.4</v>
      </c>
    </row>
    <row r="3" spans="1:23" x14ac:dyDescent="0.2">
      <c r="A3" s="4" t="s">
        <v>37</v>
      </c>
      <c r="B3" s="1">
        <v>89.9</v>
      </c>
      <c r="C3" s="6">
        <v>0</v>
      </c>
      <c r="D3" s="1">
        <v>28.5</v>
      </c>
      <c r="E3" s="1">
        <v>25.3</v>
      </c>
      <c r="F3" s="1">
        <v>25.3</v>
      </c>
      <c r="G3" s="1">
        <v>40.9</v>
      </c>
      <c r="H3" s="1">
        <v>32</v>
      </c>
      <c r="I3" s="1">
        <v>39.799999999999997</v>
      </c>
      <c r="K3" s="1">
        <v>51.8</v>
      </c>
      <c r="L3" s="1">
        <v>62.5</v>
      </c>
      <c r="M3" s="1">
        <v>234.1</v>
      </c>
      <c r="N3" s="1">
        <v>151.69999999999999</v>
      </c>
      <c r="P3" s="1">
        <v>261.89999999999998</v>
      </c>
      <c r="Q3" s="1">
        <v>367.1</v>
      </c>
      <c r="R3" s="1">
        <v>392.2</v>
      </c>
      <c r="S3" s="1">
        <v>400.7</v>
      </c>
      <c r="T3" s="1">
        <v>426.4</v>
      </c>
      <c r="U3" s="1">
        <v>537.6</v>
      </c>
      <c r="V3" s="1">
        <v>676.6</v>
      </c>
      <c r="W3" s="1">
        <v>887.8</v>
      </c>
    </row>
    <row r="4" spans="1:23" x14ac:dyDescent="0.2">
      <c r="A4" s="4" t="s">
        <v>38</v>
      </c>
      <c r="B4" s="1">
        <v>62.1</v>
      </c>
      <c r="C4" s="1">
        <v>28.5</v>
      </c>
      <c r="D4" s="6">
        <v>0</v>
      </c>
      <c r="E4" s="1">
        <v>45.7</v>
      </c>
      <c r="F4" s="1">
        <v>45.7</v>
      </c>
      <c r="G4" s="1">
        <v>59.3</v>
      </c>
      <c r="H4" s="1">
        <v>43.9</v>
      </c>
      <c r="I4" s="1">
        <v>50.9</v>
      </c>
      <c r="K4" s="1">
        <v>61.1</v>
      </c>
      <c r="L4" s="1">
        <v>74</v>
      </c>
      <c r="M4" s="1">
        <v>243.1</v>
      </c>
      <c r="N4" s="1">
        <v>174</v>
      </c>
      <c r="P4" s="1">
        <v>289.10000000000002</v>
      </c>
      <c r="Q4" s="1">
        <v>394.6</v>
      </c>
      <c r="R4" s="1">
        <v>419.4</v>
      </c>
      <c r="S4" s="1">
        <v>427.5</v>
      </c>
      <c r="T4" s="1">
        <v>453.5</v>
      </c>
      <c r="U4" s="1">
        <v>565.20000000000005</v>
      </c>
      <c r="V4" s="1">
        <v>704.3</v>
      </c>
      <c r="W4" s="1">
        <v>915.3</v>
      </c>
    </row>
    <row r="5" spans="1:23" x14ac:dyDescent="0.2">
      <c r="A5" s="4" t="s">
        <v>39</v>
      </c>
      <c r="B5" s="1">
        <v>107.1</v>
      </c>
      <c r="C5" s="1">
        <v>25.3</v>
      </c>
      <c r="D5" s="1">
        <v>45.7</v>
      </c>
      <c r="E5" s="6">
        <v>0</v>
      </c>
      <c r="F5" s="1">
        <v>0</v>
      </c>
      <c r="G5" s="1">
        <v>15.6</v>
      </c>
      <c r="H5" s="1">
        <v>13.3</v>
      </c>
      <c r="I5" s="1">
        <v>18.600000000000001</v>
      </c>
      <c r="K5" s="1">
        <v>29.8</v>
      </c>
      <c r="L5" s="1">
        <v>38.4</v>
      </c>
      <c r="M5" s="1">
        <v>253.6</v>
      </c>
      <c r="N5" s="1">
        <v>128.6</v>
      </c>
      <c r="P5" s="1">
        <v>244.9</v>
      </c>
      <c r="Q5" s="1">
        <v>350.8</v>
      </c>
      <c r="R5" s="1">
        <v>375</v>
      </c>
      <c r="S5" s="1">
        <v>382.8</v>
      </c>
      <c r="T5" s="1">
        <v>409.1</v>
      </c>
      <c r="U5" s="1">
        <v>521.5</v>
      </c>
      <c r="V5" s="1">
        <v>660.7</v>
      </c>
      <c r="W5" s="1">
        <v>871.2</v>
      </c>
    </row>
    <row r="6" spans="1:23" x14ac:dyDescent="0.2">
      <c r="A6" s="4" t="s">
        <v>24</v>
      </c>
      <c r="B6" s="1">
        <v>107.1</v>
      </c>
      <c r="C6" s="1">
        <v>25.3</v>
      </c>
      <c r="D6" s="1">
        <v>45.7</v>
      </c>
      <c r="E6" s="1">
        <v>0</v>
      </c>
      <c r="F6" s="6">
        <v>0</v>
      </c>
      <c r="G6" s="1">
        <v>15.6</v>
      </c>
      <c r="H6" s="1">
        <v>13.3</v>
      </c>
      <c r="I6" s="1">
        <v>18.600000000000001</v>
      </c>
      <c r="K6" s="1">
        <v>29.8</v>
      </c>
      <c r="L6" s="1">
        <v>38.4</v>
      </c>
      <c r="M6" s="1">
        <v>253.6</v>
      </c>
      <c r="N6" s="1">
        <v>128.6</v>
      </c>
      <c r="P6" s="1">
        <v>244.9</v>
      </c>
      <c r="Q6" s="1">
        <v>350.8</v>
      </c>
      <c r="R6" s="1">
        <v>375</v>
      </c>
      <c r="S6" s="1">
        <v>382.8</v>
      </c>
      <c r="T6" s="1">
        <v>409.1</v>
      </c>
      <c r="U6" s="1">
        <v>521.5</v>
      </c>
      <c r="V6" s="1">
        <v>660.7</v>
      </c>
      <c r="W6" s="1">
        <v>871.2</v>
      </c>
    </row>
    <row r="7" spans="1:23" x14ac:dyDescent="0.2">
      <c r="A7" s="4" t="s">
        <v>40</v>
      </c>
      <c r="B7" s="1">
        <v>119.2</v>
      </c>
      <c r="C7" s="1">
        <v>40.9</v>
      </c>
      <c r="D7" s="1">
        <v>59.3</v>
      </c>
      <c r="E7" s="1">
        <v>15.6</v>
      </c>
      <c r="F7" s="1">
        <v>15.6</v>
      </c>
      <c r="G7" s="6">
        <v>0</v>
      </c>
      <c r="H7" s="1">
        <v>17.100000000000001</v>
      </c>
      <c r="I7" s="1">
        <v>15</v>
      </c>
      <c r="K7" s="1">
        <v>20.5</v>
      </c>
      <c r="L7" s="1">
        <v>24.9</v>
      </c>
      <c r="M7" s="1">
        <v>266.10000000000002</v>
      </c>
      <c r="N7" s="1">
        <v>114.8</v>
      </c>
      <c r="P7" s="1">
        <v>235.1</v>
      </c>
      <c r="Q7" s="1">
        <v>341.3</v>
      </c>
      <c r="R7" s="1">
        <v>364.9</v>
      </c>
      <c r="S7" s="1">
        <v>372.1</v>
      </c>
      <c r="T7" s="1">
        <v>398.8</v>
      </c>
      <c r="U7" s="1">
        <v>511.8</v>
      </c>
      <c r="V7" s="1">
        <v>651.1</v>
      </c>
      <c r="W7" s="1">
        <v>861.1</v>
      </c>
    </row>
    <row r="8" spans="1:23" x14ac:dyDescent="0.2">
      <c r="A8" s="4" t="s">
        <v>23</v>
      </c>
      <c r="B8" s="1">
        <v>102.5</v>
      </c>
      <c r="C8" s="1">
        <v>32</v>
      </c>
      <c r="D8" s="1">
        <v>43.9</v>
      </c>
      <c r="E8" s="1">
        <v>13.3</v>
      </c>
      <c r="F8" s="1">
        <v>13.3</v>
      </c>
      <c r="G8" s="1">
        <v>17.100000000000001</v>
      </c>
      <c r="H8" s="6">
        <v>0</v>
      </c>
      <c r="I8" s="1">
        <v>7.8</v>
      </c>
      <c r="K8" s="1">
        <v>19.8</v>
      </c>
      <c r="L8" s="1">
        <v>31.3</v>
      </c>
      <c r="M8" s="1">
        <v>264.7</v>
      </c>
      <c r="N8" s="1">
        <v>131.1</v>
      </c>
      <c r="P8" s="1">
        <v>252.2</v>
      </c>
      <c r="Q8" s="1">
        <v>358.3</v>
      </c>
      <c r="R8" s="1">
        <v>381.9</v>
      </c>
      <c r="S8" s="1">
        <v>389.2</v>
      </c>
      <c r="T8" s="1">
        <v>415.9</v>
      </c>
      <c r="U8" s="1">
        <v>528.9</v>
      </c>
      <c r="V8" s="1">
        <v>668.1</v>
      </c>
      <c r="W8" s="1">
        <v>878.2</v>
      </c>
    </row>
    <row r="9" spans="1:23" x14ac:dyDescent="0.2">
      <c r="A9" s="4" t="s">
        <v>35</v>
      </c>
      <c r="B9" s="1">
        <v>107.9</v>
      </c>
      <c r="C9" s="1">
        <v>39.799999999999997</v>
      </c>
      <c r="D9" s="1">
        <v>50.9</v>
      </c>
      <c r="E9" s="1">
        <v>18.600000000000001</v>
      </c>
      <c r="F9" s="1">
        <v>18.600000000000001</v>
      </c>
      <c r="G9" s="1">
        <v>15</v>
      </c>
      <c r="H9" s="1">
        <v>7.8</v>
      </c>
      <c r="I9" s="6">
        <v>0</v>
      </c>
      <c r="J9" s="6"/>
      <c r="K9" s="1">
        <v>12.1</v>
      </c>
      <c r="L9" s="1">
        <v>23.6</v>
      </c>
      <c r="M9" s="1">
        <v>271.8</v>
      </c>
      <c r="N9" s="1">
        <v>125.7</v>
      </c>
      <c r="P9" s="1">
        <v>249</v>
      </c>
      <c r="Q9" s="1">
        <v>355.3</v>
      </c>
      <c r="R9" s="1">
        <v>378.5</v>
      </c>
      <c r="S9" s="1">
        <v>385.4</v>
      </c>
      <c r="T9" s="1">
        <v>412.3</v>
      </c>
      <c r="U9" s="1">
        <v>525.70000000000005</v>
      </c>
      <c r="V9" s="1">
        <v>664.9</v>
      </c>
      <c r="W9" s="1">
        <v>874.7</v>
      </c>
    </row>
    <row r="10" spans="1:23" x14ac:dyDescent="0.2">
      <c r="A10" s="4" t="s">
        <v>16</v>
      </c>
      <c r="B10" s="1">
        <v>115.2</v>
      </c>
      <c r="C10" s="1">
        <v>51.8</v>
      </c>
      <c r="D10" s="1">
        <v>61.1</v>
      </c>
      <c r="E10" s="1">
        <v>29.8</v>
      </c>
      <c r="F10" s="1">
        <v>29.8</v>
      </c>
      <c r="G10" s="1">
        <v>20.5</v>
      </c>
      <c r="H10" s="1">
        <v>19.8</v>
      </c>
      <c r="I10" s="1">
        <v>12.1</v>
      </c>
      <c r="K10" s="6">
        <v>0</v>
      </c>
      <c r="L10" s="1">
        <v>13.2</v>
      </c>
      <c r="M10" s="1">
        <v>283.39999999999998</v>
      </c>
      <c r="N10" s="1">
        <v>119.7</v>
      </c>
      <c r="P10" s="1">
        <v>246.6</v>
      </c>
      <c r="Q10" s="1">
        <v>352.8</v>
      </c>
      <c r="R10" s="1">
        <v>375.5</v>
      </c>
      <c r="S10" s="1">
        <v>381.9</v>
      </c>
      <c r="T10" s="1">
        <v>409.1</v>
      </c>
      <c r="U10" s="1">
        <v>523</v>
      </c>
      <c r="V10" s="1">
        <v>662.2</v>
      </c>
      <c r="W10" s="1">
        <v>871.4</v>
      </c>
    </row>
    <row r="11" spans="1:23" x14ac:dyDescent="0.2">
      <c r="A11" s="4" t="s">
        <v>41</v>
      </c>
      <c r="B11" s="1">
        <v>128.30000000000001</v>
      </c>
      <c r="C11" s="1">
        <v>62.5</v>
      </c>
      <c r="D11" s="1">
        <v>74</v>
      </c>
      <c r="E11" s="1">
        <v>38.4</v>
      </c>
      <c r="F11" s="1">
        <v>38.4</v>
      </c>
      <c r="G11" s="1">
        <v>24.9</v>
      </c>
      <c r="H11" s="1">
        <v>31.3</v>
      </c>
      <c r="I11" s="1">
        <v>23.6</v>
      </c>
      <c r="K11" s="1">
        <v>13.2</v>
      </c>
      <c r="L11" s="6">
        <v>0</v>
      </c>
      <c r="M11" s="1">
        <v>291</v>
      </c>
      <c r="N11" s="1">
        <v>107.5</v>
      </c>
      <c r="P11" s="1">
        <v>236.5</v>
      </c>
      <c r="Q11" s="1">
        <v>342.6</v>
      </c>
      <c r="R11" s="1">
        <v>364.7</v>
      </c>
      <c r="S11" s="1">
        <v>370.8</v>
      </c>
      <c r="T11" s="1">
        <v>398.2</v>
      </c>
      <c r="U11" s="1">
        <v>512.5</v>
      </c>
      <c r="V11" s="1">
        <v>651.6</v>
      </c>
      <c r="W11" s="1">
        <v>860.4</v>
      </c>
    </row>
    <row r="12" spans="1:23" x14ac:dyDescent="0.2">
      <c r="A12" s="4" t="s">
        <v>42</v>
      </c>
      <c r="B12" s="1">
        <v>256.5</v>
      </c>
      <c r="C12" s="1">
        <v>234.1</v>
      </c>
      <c r="D12" s="1">
        <v>243.1</v>
      </c>
      <c r="E12" s="1">
        <v>253.6</v>
      </c>
      <c r="F12" s="1">
        <v>253.6</v>
      </c>
      <c r="G12" s="1">
        <v>266.10000000000002</v>
      </c>
      <c r="H12" s="1">
        <v>264.7</v>
      </c>
      <c r="I12" s="1">
        <v>271.8</v>
      </c>
      <c r="K12" s="1">
        <v>283.39999999999998</v>
      </c>
      <c r="L12" s="1">
        <v>291</v>
      </c>
      <c r="M12" s="6">
        <v>0</v>
      </c>
      <c r="N12" s="1">
        <v>331</v>
      </c>
      <c r="P12" s="1">
        <v>360.2</v>
      </c>
      <c r="Q12" s="1">
        <v>436.1</v>
      </c>
      <c r="R12" s="1">
        <v>466.2</v>
      </c>
      <c r="S12" s="1">
        <v>481.7</v>
      </c>
      <c r="T12" s="1">
        <v>497.3</v>
      </c>
      <c r="U12" s="1">
        <v>583.6</v>
      </c>
      <c r="V12" s="1">
        <v>710.2</v>
      </c>
      <c r="W12" s="1">
        <v>919.8</v>
      </c>
    </row>
    <row r="13" spans="1:23" x14ac:dyDescent="0.2">
      <c r="A13" s="4" t="s">
        <v>43</v>
      </c>
      <c r="B13" s="1">
        <v>233.5</v>
      </c>
      <c r="C13" s="1">
        <v>151.69999999999999</v>
      </c>
      <c r="D13" s="1">
        <v>174</v>
      </c>
      <c r="E13" s="1">
        <v>128.6</v>
      </c>
      <c r="F13" s="1">
        <v>128.6</v>
      </c>
      <c r="G13" s="1">
        <v>114.8</v>
      </c>
      <c r="H13" s="1">
        <v>131.1</v>
      </c>
      <c r="I13" s="1">
        <v>125.7</v>
      </c>
      <c r="K13" s="1">
        <v>119.7</v>
      </c>
      <c r="L13" s="1">
        <v>107.5</v>
      </c>
      <c r="M13" s="1">
        <v>331</v>
      </c>
      <c r="N13" s="6">
        <v>0</v>
      </c>
      <c r="O13" s="6"/>
      <c r="P13" s="1">
        <v>137.1</v>
      </c>
      <c r="Q13" s="1">
        <v>240.8</v>
      </c>
      <c r="R13" s="1">
        <v>260.7</v>
      </c>
      <c r="S13" s="1">
        <v>265.39999999999998</v>
      </c>
      <c r="T13" s="1">
        <v>293.60000000000002</v>
      </c>
      <c r="U13" s="1">
        <v>408.7</v>
      </c>
      <c r="V13" s="1">
        <v>547.4</v>
      </c>
      <c r="W13" s="1">
        <v>754.6</v>
      </c>
    </row>
    <row r="14" spans="1:23" x14ac:dyDescent="0.2">
      <c r="A14" s="4" t="s">
        <v>44</v>
      </c>
      <c r="B14" s="1">
        <v>351.2</v>
      </c>
      <c r="C14" s="1">
        <v>261.89999999999998</v>
      </c>
      <c r="D14" s="1">
        <v>289.10000000000002</v>
      </c>
      <c r="E14" s="1">
        <v>244.9</v>
      </c>
      <c r="F14" s="1">
        <v>244.9</v>
      </c>
      <c r="G14" s="1">
        <v>235.1</v>
      </c>
      <c r="H14" s="1">
        <v>252.2</v>
      </c>
      <c r="I14" s="1">
        <v>249</v>
      </c>
      <c r="K14" s="1">
        <v>246.6</v>
      </c>
      <c r="L14" s="1">
        <v>236.5</v>
      </c>
      <c r="M14" s="1">
        <v>360.2</v>
      </c>
      <c r="N14" s="1">
        <v>137.1</v>
      </c>
      <c r="P14" s="6">
        <v>0</v>
      </c>
      <c r="Q14" s="1">
        <v>106.3</v>
      </c>
      <c r="R14" s="1">
        <v>130.30000000000001</v>
      </c>
      <c r="S14" s="1">
        <v>139.30000000000001</v>
      </c>
      <c r="T14" s="1">
        <v>164.5</v>
      </c>
      <c r="U14" s="1">
        <v>276.7</v>
      </c>
      <c r="V14" s="1">
        <v>416</v>
      </c>
      <c r="W14" s="1">
        <v>626.29999999999995</v>
      </c>
    </row>
    <row r="15" spans="1:23" x14ac:dyDescent="0.2">
      <c r="A15" s="4" t="s">
        <v>45</v>
      </c>
      <c r="B15" s="1">
        <v>456.7</v>
      </c>
      <c r="C15" s="1">
        <v>367.1</v>
      </c>
      <c r="D15" s="1">
        <v>394.6</v>
      </c>
      <c r="E15" s="1">
        <v>350.8</v>
      </c>
      <c r="F15" s="1">
        <v>350.8</v>
      </c>
      <c r="G15" s="1">
        <v>341.3</v>
      </c>
      <c r="H15" s="1">
        <v>358.3</v>
      </c>
      <c r="I15" s="1">
        <v>355.3</v>
      </c>
      <c r="K15" s="1">
        <v>352.8</v>
      </c>
      <c r="L15" s="1">
        <v>342.6</v>
      </c>
      <c r="M15" s="1">
        <v>436.1</v>
      </c>
      <c r="N15" s="1">
        <v>240.8</v>
      </c>
      <c r="P15" s="1">
        <v>106.3</v>
      </c>
      <c r="Q15" s="6">
        <v>0</v>
      </c>
      <c r="R15" s="1">
        <v>30.2</v>
      </c>
      <c r="S15" s="1">
        <v>47</v>
      </c>
      <c r="T15" s="1">
        <v>62.5</v>
      </c>
      <c r="U15" s="1">
        <v>170.6</v>
      </c>
      <c r="V15" s="1">
        <v>309.8</v>
      </c>
      <c r="W15" s="1">
        <v>520.79999999999995</v>
      </c>
    </row>
    <row r="16" spans="1:23" x14ac:dyDescent="0.2">
      <c r="A16" s="4" t="s">
        <v>28</v>
      </c>
      <c r="B16" s="1">
        <v>481.5</v>
      </c>
      <c r="C16" s="1">
        <v>392.2</v>
      </c>
      <c r="D16" s="1">
        <v>419.4</v>
      </c>
      <c r="E16" s="1">
        <v>375</v>
      </c>
      <c r="F16" s="1">
        <v>375</v>
      </c>
      <c r="G16" s="1">
        <v>364.9</v>
      </c>
      <c r="H16" s="1">
        <v>381.9</v>
      </c>
      <c r="I16" s="1">
        <v>378.5</v>
      </c>
      <c r="K16" s="1">
        <v>375.5</v>
      </c>
      <c r="L16" s="1">
        <v>364.7</v>
      </c>
      <c r="M16" s="1">
        <v>466.2</v>
      </c>
      <c r="N16" s="1">
        <v>260.7</v>
      </c>
      <c r="P16" s="1">
        <v>130.30000000000001</v>
      </c>
      <c r="Q16" s="1">
        <v>30.2</v>
      </c>
      <c r="R16" s="6">
        <v>0</v>
      </c>
      <c r="S16" s="1">
        <v>18.399999999999999</v>
      </c>
      <c r="T16" s="1">
        <v>34.299999999999997</v>
      </c>
      <c r="U16" s="1">
        <v>148</v>
      </c>
      <c r="V16" s="1">
        <v>286.89999999999998</v>
      </c>
      <c r="W16" s="1">
        <v>496.2</v>
      </c>
    </row>
    <row r="17" spans="1:23" x14ac:dyDescent="0.2">
      <c r="A17" s="4" t="s">
        <v>27</v>
      </c>
      <c r="B17" s="1">
        <v>489.6</v>
      </c>
      <c r="C17" s="1">
        <v>400.7</v>
      </c>
      <c r="D17" s="1">
        <v>427.5</v>
      </c>
      <c r="E17" s="1">
        <v>382.8</v>
      </c>
      <c r="F17" s="1">
        <v>382.8</v>
      </c>
      <c r="G17" s="1">
        <v>372.1</v>
      </c>
      <c r="H17" s="1">
        <v>389.2</v>
      </c>
      <c r="I17" s="1">
        <v>385.4</v>
      </c>
      <c r="K17" s="1">
        <v>381.9</v>
      </c>
      <c r="L17" s="1">
        <v>370.8</v>
      </c>
      <c r="M17" s="1">
        <v>481.7</v>
      </c>
      <c r="N17" s="1">
        <v>265.39999999999998</v>
      </c>
      <c r="P17" s="1">
        <v>139.30000000000001</v>
      </c>
      <c r="Q17" s="1">
        <v>47</v>
      </c>
      <c r="R17" s="1">
        <v>18.399999999999999</v>
      </c>
      <c r="S17" s="6">
        <v>0</v>
      </c>
      <c r="T17" s="1">
        <v>29.5</v>
      </c>
      <c r="U17" s="1">
        <v>144.69999999999999</v>
      </c>
      <c r="V17" s="1">
        <v>282.3</v>
      </c>
      <c r="W17" s="1">
        <v>489.5</v>
      </c>
    </row>
    <row r="18" spans="1:23" x14ac:dyDescent="0.2">
      <c r="A18" s="4" t="s">
        <v>46</v>
      </c>
      <c r="B18" s="1">
        <v>515.6</v>
      </c>
      <c r="C18" s="1">
        <v>426.4</v>
      </c>
      <c r="D18" s="1">
        <v>453.5</v>
      </c>
      <c r="E18" s="1">
        <v>409.1</v>
      </c>
      <c r="F18" s="1">
        <v>409.1</v>
      </c>
      <c r="G18" s="1">
        <v>398.8</v>
      </c>
      <c r="H18" s="1">
        <v>415.9</v>
      </c>
      <c r="I18" s="1">
        <v>412.3</v>
      </c>
      <c r="K18" s="1">
        <v>409.1</v>
      </c>
      <c r="L18" s="1">
        <v>398.2</v>
      </c>
      <c r="M18" s="1">
        <v>497.3</v>
      </c>
      <c r="N18" s="1">
        <v>293.60000000000002</v>
      </c>
      <c r="P18" s="1">
        <v>164.5</v>
      </c>
      <c r="Q18" s="1">
        <v>62.5</v>
      </c>
      <c r="R18" s="1">
        <v>34.299999999999997</v>
      </c>
      <c r="S18" s="1">
        <v>29.5</v>
      </c>
      <c r="T18" s="6">
        <v>0</v>
      </c>
      <c r="U18" s="1">
        <v>115.6</v>
      </c>
      <c r="V18" s="1">
        <v>253.8</v>
      </c>
      <c r="W18" s="1">
        <v>462.4</v>
      </c>
    </row>
    <row r="19" spans="1:23" x14ac:dyDescent="0.2">
      <c r="A19" s="4" t="s">
        <v>47</v>
      </c>
      <c r="B19" s="1">
        <v>627.29999999999995</v>
      </c>
      <c r="C19" s="1">
        <v>537.6</v>
      </c>
      <c r="D19" s="1">
        <v>565.20000000000005</v>
      </c>
      <c r="E19" s="1">
        <v>521.5</v>
      </c>
      <c r="F19" s="1">
        <v>521.5</v>
      </c>
      <c r="G19" s="1">
        <v>511.8</v>
      </c>
      <c r="H19" s="1">
        <v>528.9</v>
      </c>
      <c r="I19" s="1">
        <v>525.70000000000005</v>
      </c>
      <c r="K19" s="1">
        <v>523</v>
      </c>
      <c r="L19" s="1">
        <v>512.5</v>
      </c>
      <c r="M19" s="1">
        <v>583.6</v>
      </c>
      <c r="N19" s="1">
        <v>408.7</v>
      </c>
      <c r="P19" s="1">
        <v>276.7</v>
      </c>
      <c r="Q19" s="1">
        <v>170.6</v>
      </c>
      <c r="R19" s="1">
        <v>148</v>
      </c>
      <c r="S19" s="1">
        <v>144.69999999999999</v>
      </c>
      <c r="T19" s="1">
        <v>115.6</v>
      </c>
      <c r="U19" s="6">
        <v>0</v>
      </c>
      <c r="V19" s="1">
        <v>139.19999999999999</v>
      </c>
      <c r="W19" s="1">
        <v>350.6</v>
      </c>
    </row>
    <row r="20" spans="1:23" x14ac:dyDescent="0.2">
      <c r="A20" s="4" t="s">
        <v>48</v>
      </c>
      <c r="B20" s="1">
        <v>766.3</v>
      </c>
      <c r="C20" s="1">
        <v>676.6</v>
      </c>
      <c r="D20" s="1">
        <v>704.3</v>
      </c>
      <c r="E20" s="1">
        <v>660.7</v>
      </c>
      <c r="F20" s="1">
        <v>660.7</v>
      </c>
      <c r="G20" s="1">
        <v>651.1</v>
      </c>
      <c r="H20" s="1">
        <v>668.1</v>
      </c>
      <c r="I20" s="1">
        <v>664.9</v>
      </c>
      <c r="K20" s="1">
        <v>662.2</v>
      </c>
      <c r="L20" s="1">
        <v>651.6</v>
      </c>
      <c r="M20" s="1">
        <v>710.2</v>
      </c>
      <c r="N20" s="1">
        <v>547.4</v>
      </c>
      <c r="P20" s="1">
        <v>416</v>
      </c>
      <c r="Q20" s="1">
        <v>309.8</v>
      </c>
      <c r="R20" s="1">
        <v>286.89999999999998</v>
      </c>
      <c r="S20" s="1">
        <v>282.3</v>
      </c>
      <c r="T20" s="1">
        <v>253.8</v>
      </c>
      <c r="U20" s="1">
        <v>139.19999999999999</v>
      </c>
      <c r="V20" s="6">
        <v>0</v>
      </c>
      <c r="W20" s="1">
        <v>212.8</v>
      </c>
    </row>
    <row r="21" spans="1:23" x14ac:dyDescent="0.2">
      <c r="A21" s="4" t="s">
        <v>49</v>
      </c>
      <c r="B21" s="1">
        <v>977.4</v>
      </c>
      <c r="C21" s="1">
        <v>887.8</v>
      </c>
      <c r="D21" s="1">
        <v>915.3</v>
      </c>
      <c r="E21" s="1">
        <v>871.2</v>
      </c>
      <c r="F21" s="1">
        <v>871.2</v>
      </c>
      <c r="G21" s="1">
        <v>861.1</v>
      </c>
      <c r="H21" s="1">
        <v>878.2</v>
      </c>
      <c r="I21" s="1">
        <v>874.7</v>
      </c>
      <c r="K21" s="1">
        <v>871.4</v>
      </c>
      <c r="L21" s="1">
        <v>860.4</v>
      </c>
      <c r="M21" s="1">
        <v>919.8</v>
      </c>
      <c r="N21" s="1">
        <v>754.6</v>
      </c>
      <c r="P21" s="1">
        <v>626.29999999999995</v>
      </c>
      <c r="Q21" s="1">
        <v>520.79999999999995</v>
      </c>
      <c r="R21" s="1">
        <v>496.2</v>
      </c>
      <c r="S21" s="1">
        <v>489.5</v>
      </c>
      <c r="T21" s="1">
        <v>462.4</v>
      </c>
      <c r="U21" s="1">
        <v>350.6</v>
      </c>
      <c r="V21" s="1">
        <v>212.8</v>
      </c>
      <c r="W21" s="6">
        <v>0</v>
      </c>
    </row>
    <row r="29" spans="1:23" x14ac:dyDescent="0.2">
      <c r="A29" s="7" t="s">
        <v>1</v>
      </c>
      <c r="B29" s="11" t="s">
        <v>2</v>
      </c>
      <c r="C29" s="12" t="s">
        <v>3</v>
      </c>
      <c r="D29" s="11" t="s">
        <v>4</v>
      </c>
      <c r="E29" s="1" t="s">
        <v>50</v>
      </c>
      <c r="F29" s="7" t="s">
        <v>5</v>
      </c>
      <c r="G29" s="8" t="s">
        <v>6</v>
      </c>
      <c r="H29" s="7" t="s">
        <v>7</v>
      </c>
      <c r="I29" s="1" t="s">
        <v>50</v>
      </c>
      <c r="J29" s="1" t="s">
        <v>51</v>
      </c>
      <c r="K29" s="11" t="s">
        <v>8</v>
      </c>
      <c r="L29" s="12" t="s">
        <v>9</v>
      </c>
      <c r="M29" s="11" t="s">
        <v>10</v>
      </c>
      <c r="N29" s="1" t="s">
        <v>50</v>
      </c>
      <c r="O29" s="1" t="s">
        <v>51</v>
      </c>
      <c r="P29" s="7" t="s">
        <v>11</v>
      </c>
      <c r="Q29" s="8" t="s">
        <v>12</v>
      </c>
      <c r="R29" s="7" t="s">
        <v>13</v>
      </c>
      <c r="S29" s="1" t="s">
        <v>50</v>
      </c>
      <c r="T29" s="1" t="s">
        <v>51</v>
      </c>
    </row>
    <row r="30" spans="1:23" x14ac:dyDescent="0.2">
      <c r="A30" s="9" t="s">
        <v>14</v>
      </c>
      <c r="B30" s="9" t="s">
        <v>17</v>
      </c>
      <c r="C30" s="10">
        <v>45776</v>
      </c>
      <c r="D30" s="9" t="s">
        <v>43</v>
      </c>
      <c r="E30" s="1" cm="1">
        <f t="array" aca="1" ref="E30" ca="1">IF(B30="ホーム", 0, INDIRECT("距離_" &amp; $A30 &amp; "_" &amp; D30))</f>
        <v>0</v>
      </c>
      <c r="F30" s="9" t="s">
        <v>15</v>
      </c>
      <c r="G30" s="10">
        <v>45780</v>
      </c>
      <c r="H30" s="9" t="s">
        <v>30</v>
      </c>
      <c r="I30" s="1" cm="1">
        <f t="array" aca="1" ref="I30" ca="1">IF(F30="ホーム", 0, INDIRECT("距離_" &amp; $A30 &amp; "_" &amp; H30))</f>
        <v>253.6</v>
      </c>
      <c r="J30" s="1">
        <f>DATEDIF(C30,G30, "d")</f>
        <v>4</v>
      </c>
      <c r="K30" s="9"/>
      <c r="L30" s="10"/>
      <c r="M30" s="9"/>
      <c r="N30" s="1" t="e" cm="1">
        <f t="array" aca="1" ref="N30" ca="1">IF(K30="ホーム", 0, INDIRECT("距離_" &amp; $A30 &amp; "_" &amp; M30))</f>
        <v>#REF!</v>
      </c>
      <c r="O30" s="1" t="e">
        <f>DATEDIF(G30,L30, "d")</f>
        <v>#NUM!</v>
      </c>
      <c r="P30" s="9" t="s">
        <v>17</v>
      </c>
      <c r="Q30" s="10">
        <v>45787</v>
      </c>
      <c r="R30" s="9" t="s">
        <v>31</v>
      </c>
      <c r="S30" s="1" cm="1">
        <f t="array" aca="1" ref="S30" ca="1">IF(P30="ホーム", 0, INDIRECT("距離_" &amp; $A30 &amp; "_" &amp; R30))</f>
        <v>0</v>
      </c>
      <c r="T30" s="1">
        <f>DATEDIF(L30,Q30, "d")</f>
        <v>45787</v>
      </c>
    </row>
    <row r="31" spans="1:23" x14ac:dyDescent="0.2">
      <c r="A31" s="9" t="s">
        <v>32</v>
      </c>
      <c r="B31" s="9" t="s">
        <v>15</v>
      </c>
      <c r="C31" s="10">
        <v>45776</v>
      </c>
      <c r="D31" s="9" t="s">
        <v>28</v>
      </c>
      <c r="E31" s="1" cm="1">
        <f t="array" aca="1" ref="E31" ca="1">IF(B31="ホーム", 0, INDIRECT("距離_" &amp; $A31 &amp; "_" &amp; D31))</f>
        <v>30.2</v>
      </c>
      <c r="F31" s="9" t="s">
        <v>17</v>
      </c>
      <c r="G31" s="10">
        <v>45780</v>
      </c>
      <c r="H31" s="9" t="s">
        <v>27</v>
      </c>
      <c r="I31" s="1" cm="1">
        <f t="array" aca="1" ref="I31" ca="1">IF(F31="ホーム", 0, INDIRECT("距離_" &amp; $A31 &amp; "_" &amp; H31))</f>
        <v>0</v>
      </c>
      <c r="J31" s="1">
        <f t="shared" ref="J31:J49" si="0">DATEDIF(C31,G31, "d")</f>
        <v>4</v>
      </c>
      <c r="K31" s="9" t="s">
        <v>15</v>
      </c>
      <c r="L31" s="10">
        <v>45784</v>
      </c>
      <c r="M31" s="9" t="s">
        <v>18</v>
      </c>
      <c r="N31" s="1" cm="1">
        <f t="array" aca="1" ref="N31" ca="1">IF(K31="ホーム", 0, INDIRECT("距離_" &amp; $A31 &amp; "_" &amp; M31))</f>
        <v>341.3</v>
      </c>
      <c r="O31" s="1">
        <f t="shared" ref="O31:O49" si="1">DATEDIF(G31,L31, "d")</f>
        <v>4</v>
      </c>
      <c r="P31" s="9" t="s">
        <v>17</v>
      </c>
      <c r="Q31" s="10">
        <v>45788</v>
      </c>
      <c r="R31" s="9" t="s">
        <v>19</v>
      </c>
      <c r="S31" s="1" cm="1">
        <f t="array" aca="1" ref="S31" ca="1">IF(P31="ホーム", 0, INDIRECT("距離_" &amp; $A31 &amp; "_" &amp; R31))</f>
        <v>0</v>
      </c>
      <c r="T31" s="1">
        <f t="shared" ref="T31:T49" si="2">DATEDIF(L31,Q31, "d")</f>
        <v>4</v>
      </c>
    </row>
    <row r="32" spans="1:23" x14ac:dyDescent="0.2">
      <c r="A32" s="9" t="s">
        <v>19</v>
      </c>
      <c r="B32" s="9" t="s">
        <v>17</v>
      </c>
      <c r="C32" s="10">
        <v>45776</v>
      </c>
      <c r="D32" s="9" t="s">
        <v>26</v>
      </c>
      <c r="E32" s="1" cm="1">
        <f t="array" aca="1" ref="E32" ca="1">IF(B32="ホーム", 0, INDIRECT("距離_" &amp; $A32 &amp; "_" &amp; D32))</f>
        <v>0</v>
      </c>
      <c r="F32" s="9" t="s">
        <v>15</v>
      </c>
      <c r="G32" s="10">
        <v>45780</v>
      </c>
      <c r="H32" s="9" t="s">
        <v>29</v>
      </c>
      <c r="I32" s="1" cm="1">
        <f t="array" aca="1" ref="I32" ca="1">IF(F32="ホーム", 0, INDIRECT("距離_" &amp; $A32 &amp; "_" &amp; H32))</f>
        <v>137.1</v>
      </c>
      <c r="J32" s="1">
        <f t="shared" si="0"/>
        <v>4</v>
      </c>
      <c r="K32" s="9" t="s">
        <v>17</v>
      </c>
      <c r="L32" s="10">
        <v>45783</v>
      </c>
      <c r="M32" s="9" t="s">
        <v>25</v>
      </c>
      <c r="N32" s="1" cm="1">
        <f t="array" aca="1" ref="N32" ca="1">IF(K32="ホーム", 0, INDIRECT("距離_" &amp; $A32 &amp; "_" &amp; M32))</f>
        <v>0</v>
      </c>
      <c r="O32" s="1">
        <f t="shared" si="1"/>
        <v>3</v>
      </c>
      <c r="P32" s="9" t="s">
        <v>15</v>
      </c>
      <c r="Q32" s="10">
        <v>45788</v>
      </c>
      <c r="R32" s="9" t="s">
        <v>32</v>
      </c>
      <c r="S32" s="1" cm="1">
        <f t="array" aca="1" ref="S32" ca="1">IF(P32="ホーム", 0, INDIRECT("距離_" &amp; $A32 &amp; "_" &amp; R32))</f>
        <v>106.3</v>
      </c>
      <c r="T32" s="1">
        <f t="shared" si="2"/>
        <v>5</v>
      </c>
    </row>
    <row r="33" spans="1:20" x14ac:dyDescent="0.2">
      <c r="A33" s="9" t="s">
        <v>25</v>
      </c>
      <c r="B33" s="9" t="s">
        <v>17</v>
      </c>
      <c r="C33" s="10">
        <v>45776</v>
      </c>
      <c r="D33" s="9" t="s">
        <v>24</v>
      </c>
      <c r="E33" s="1" cm="1">
        <f t="array" aca="1" ref="E33" ca="1">IF(B33="ホーム", 0, INDIRECT("距離_" &amp; $A33 &amp; "_" &amp; D33))</f>
        <v>0</v>
      </c>
      <c r="F33" s="9" t="s">
        <v>15</v>
      </c>
      <c r="G33" s="10">
        <v>45780</v>
      </c>
      <c r="H33" s="9" t="s">
        <v>31</v>
      </c>
      <c r="I33" s="1" cm="1">
        <f t="array" aca="1" ref="I33" ca="1">IF(F33="ホーム", 0, INDIRECT("距離_" &amp; $A33 &amp; "_" &amp; H33))</f>
        <v>115.6</v>
      </c>
      <c r="J33" s="1">
        <f t="shared" si="0"/>
        <v>4</v>
      </c>
      <c r="K33" s="9" t="s">
        <v>15</v>
      </c>
      <c r="L33" s="10">
        <v>45783</v>
      </c>
      <c r="M33" s="9" t="s">
        <v>19</v>
      </c>
      <c r="N33" s="1" cm="1">
        <f t="array" aca="1" ref="N33" ca="1">IF(K33="ホーム", 0, INDIRECT("距離_" &amp; $A33 &amp; "_" &amp; M33))</f>
        <v>276.7</v>
      </c>
      <c r="O33" s="1">
        <f t="shared" si="1"/>
        <v>3</v>
      </c>
      <c r="P33" s="9" t="s">
        <v>15</v>
      </c>
      <c r="Q33" s="10">
        <v>45787</v>
      </c>
      <c r="R33" s="9" t="s">
        <v>26</v>
      </c>
      <c r="S33" s="1" cm="1">
        <f t="array" aca="1" ref="S33" ca="1">IF(P33="ホーム", 0, INDIRECT("距離_" &amp; $A33 &amp; "_" &amp; R33))</f>
        <v>565.20000000000005</v>
      </c>
      <c r="T33" s="1">
        <f t="shared" si="2"/>
        <v>4</v>
      </c>
    </row>
    <row r="34" spans="1:20" x14ac:dyDescent="0.2">
      <c r="A34" s="9" t="s">
        <v>23</v>
      </c>
      <c r="B34" s="9" t="s">
        <v>17</v>
      </c>
      <c r="C34" s="10">
        <v>45798</v>
      </c>
      <c r="D34" s="9" t="s">
        <v>33</v>
      </c>
      <c r="E34" s="1" cm="1">
        <f t="array" aca="1" ref="E34" ca="1">IF(B34="ホーム", 0, INDIRECT("距離_" &amp; $A34 &amp; "_" &amp; D34))</f>
        <v>0</v>
      </c>
      <c r="F34" s="9" t="s">
        <v>17</v>
      </c>
      <c r="G34" s="10">
        <v>45791</v>
      </c>
      <c r="H34" s="9" t="s">
        <v>16</v>
      </c>
      <c r="I34" s="1" cm="1">
        <f t="array" aca="1" ref="I34" ca="1">IF(F34="ホーム", 0, INDIRECT("距離_" &amp; $A34 &amp; "_" &amp; H34))</f>
        <v>0</v>
      </c>
      <c r="J34" s="1" t="e">
        <f>DATEDIF(C34,G34, "d")</f>
        <v>#NUM!</v>
      </c>
      <c r="K34" s="9"/>
      <c r="L34" s="10"/>
      <c r="M34" s="9"/>
      <c r="N34" s="1" t="e" cm="1">
        <f t="array" aca="1" ref="N34" ca="1">IF(K34="ホーム", 0, INDIRECT("距離_" &amp; $A34 &amp; "_" &amp; M34))</f>
        <v>#REF!</v>
      </c>
      <c r="O34" s="1" t="e">
        <f t="shared" si="1"/>
        <v>#NUM!</v>
      </c>
      <c r="P34" s="9" t="s">
        <v>15</v>
      </c>
      <c r="Q34" s="10">
        <v>45788</v>
      </c>
      <c r="R34" s="9" t="s">
        <v>20</v>
      </c>
      <c r="S34" s="1" cm="1">
        <f t="array" aca="1" ref="S34" ca="1">IF(P34="ホーム", 0, INDIRECT("距離_" &amp; $A34 &amp; "_" &amp; R34))</f>
        <v>102.5</v>
      </c>
      <c r="T34" s="1">
        <f t="shared" si="2"/>
        <v>45788</v>
      </c>
    </row>
    <row r="35" spans="1:20" x14ac:dyDescent="0.2">
      <c r="A35" s="9" t="s">
        <v>34</v>
      </c>
      <c r="B35" s="9" t="s">
        <v>17</v>
      </c>
      <c r="C35" s="10">
        <v>45776</v>
      </c>
      <c r="D35" s="9" t="s">
        <v>30</v>
      </c>
      <c r="E35" s="1" cm="1">
        <f t="array" aca="1" ref="E35" ca="1">IF(B35="ホーム", 0, INDIRECT("距離_" &amp; $A35 &amp; "_" &amp; D35))</f>
        <v>0</v>
      </c>
      <c r="F35" s="9" t="s">
        <v>17</v>
      </c>
      <c r="G35" s="10">
        <v>45780</v>
      </c>
      <c r="H35" s="9" t="s">
        <v>22</v>
      </c>
      <c r="I35" s="1" cm="1">
        <f t="array" aca="1" ref="I35" ca="1">IF(F35="ホーム", 0, INDIRECT("距離_" &amp; $A35 &amp; "_" &amp; H35))</f>
        <v>0</v>
      </c>
      <c r="J35" s="1">
        <f t="shared" si="0"/>
        <v>4</v>
      </c>
      <c r="K35" s="9" t="s">
        <v>15</v>
      </c>
      <c r="L35" s="10">
        <v>45784</v>
      </c>
      <c r="M35" s="9" t="s">
        <v>21</v>
      </c>
      <c r="N35" s="1" cm="1">
        <f t="array" aca="1" ref="N35" ca="1">IF(K35="ホーム", 0, INDIRECT("距離_" &amp; $A35 &amp; "_" &amp; M35))</f>
        <v>651.6</v>
      </c>
      <c r="O35" s="1">
        <f t="shared" si="1"/>
        <v>4</v>
      </c>
      <c r="P35" s="9" t="s">
        <v>15</v>
      </c>
      <c r="Q35" s="10">
        <v>45788</v>
      </c>
      <c r="R35" s="9" t="s">
        <v>28</v>
      </c>
      <c r="S35" s="1" cm="1">
        <f t="array" aca="1" ref="S35" ca="1">IF(P35="ホーム", 0, INDIRECT("距離_" &amp; $A35 &amp; "_" &amp; R35))</f>
        <v>286.89999999999998</v>
      </c>
      <c r="T35" s="1">
        <f t="shared" si="2"/>
        <v>4</v>
      </c>
    </row>
    <row r="36" spans="1:20" x14ac:dyDescent="0.2">
      <c r="A36" s="9" t="s">
        <v>30</v>
      </c>
      <c r="B36" s="9" t="s">
        <v>15</v>
      </c>
      <c r="C36" s="10">
        <v>45776</v>
      </c>
      <c r="D36" s="9" t="s">
        <v>34</v>
      </c>
      <c r="E36" s="1" cm="1">
        <f t="array" aca="1" ref="E36" ca="1">IF(B36="ホーム", 0, INDIRECT("距離_" &amp; $A36 &amp; "_" &amp; D36))</f>
        <v>710.2</v>
      </c>
      <c r="F36" s="9" t="s">
        <v>17</v>
      </c>
      <c r="G36" s="10">
        <v>45780</v>
      </c>
      <c r="H36" s="9" t="s">
        <v>14</v>
      </c>
      <c r="I36" s="1" cm="1">
        <f t="array" aca="1" ref="I36" ca="1">IF(F36="ホーム", 0, INDIRECT("距離_" &amp; $A36 &amp; "_" &amp; H36))</f>
        <v>0</v>
      </c>
      <c r="J36" s="1">
        <f t="shared" si="0"/>
        <v>4</v>
      </c>
      <c r="K36" s="9"/>
      <c r="L36" s="10"/>
      <c r="M36" s="9"/>
      <c r="N36" s="1" t="e" cm="1">
        <f t="array" aca="1" ref="N36" ca="1">IF(K36="ホーム", 0, INDIRECT("距離_" &amp; $A36 &amp; "_" &amp; M36))</f>
        <v>#REF!</v>
      </c>
      <c r="O36" s="1" t="e">
        <f t="shared" si="1"/>
        <v>#NUM!</v>
      </c>
      <c r="P36" s="9" t="s">
        <v>17</v>
      </c>
      <c r="Q36" s="10">
        <v>45788</v>
      </c>
      <c r="R36" s="9" t="s">
        <v>33</v>
      </c>
      <c r="S36" s="1" cm="1">
        <f t="array" aca="1" ref="S36" ca="1">IF(P36="ホーム", 0, INDIRECT("距離_" &amp; $A36 &amp; "_" &amp; R36))</f>
        <v>0</v>
      </c>
      <c r="T36" s="1">
        <f t="shared" si="2"/>
        <v>45788</v>
      </c>
    </row>
    <row r="37" spans="1:20" x14ac:dyDescent="0.2">
      <c r="A37" s="9" t="s">
        <v>24</v>
      </c>
      <c r="B37" s="9" t="s">
        <v>15</v>
      </c>
      <c r="C37" s="10">
        <v>45776</v>
      </c>
      <c r="D37" s="9" t="s">
        <v>25</v>
      </c>
      <c r="E37" s="1" cm="1">
        <f t="array" aca="1" ref="E37" ca="1">IF(B37="ホーム", 0, INDIRECT("距離_" &amp; $A37 &amp; "_" &amp; D37))</f>
        <v>521.5</v>
      </c>
      <c r="F37" s="9" t="s">
        <v>15</v>
      </c>
      <c r="G37" s="10">
        <v>45780</v>
      </c>
      <c r="H37" s="9" t="s">
        <v>33</v>
      </c>
      <c r="I37" s="1" cm="1">
        <f t="array" aca="1" ref="I37" ca="1">IF(F37="ホーム", 0, INDIRECT("距離_" &amp; $A37 &amp; "_" &amp; H37))</f>
        <v>25.3</v>
      </c>
      <c r="J37" s="1">
        <f t="shared" si="0"/>
        <v>4</v>
      </c>
      <c r="K37" s="9" t="s">
        <v>17</v>
      </c>
      <c r="L37" s="10">
        <v>45783</v>
      </c>
      <c r="M37" s="9" t="s">
        <v>16</v>
      </c>
      <c r="N37" s="1" cm="1">
        <f t="array" aca="1" ref="N37" ca="1">IF(K37="ホーム", 0, INDIRECT("距離_" &amp; $A37 &amp; "_" &amp; M37))</f>
        <v>0</v>
      </c>
      <c r="O37" s="1">
        <f t="shared" si="1"/>
        <v>3</v>
      </c>
      <c r="P37" s="9" t="s">
        <v>17</v>
      </c>
      <c r="Q37" s="10">
        <v>45788</v>
      </c>
      <c r="R37" s="9" t="s">
        <v>21</v>
      </c>
      <c r="S37" s="1" cm="1">
        <f t="array" aca="1" ref="S37" ca="1">IF(P37="ホーム", 0, INDIRECT("距離_" &amp; $A37 &amp; "_" &amp; R37))</f>
        <v>0</v>
      </c>
      <c r="T37" s="1">
        <f t="shared" si="2"/>
        <v>5</v>
      </c>
    </row>
    <row r="38" spans="1:20" x14ac:dyDescent="0.2">
      <c r="A38" s="9" t="s">
        <v>26</v>
      </c>
      <c r="B38" s="9" t="s">
        <v>15</v>
      </c>
      <c r="C38" s="10">
        <v>45776</v>
      </c>
      <c r="D38" s="9" t="s">
        <v>19</v>
      </c>
      <c r="E38" s="1" cm="1">
        <f t="array" aca="1" ref="E38" ca="1">IF(B38="ホーム", 0, INDIRECT("距離_" &amp; $A38 &amp; "_" &amp; D38))</f>
        <v>289.10000000000002</v>
      </c>
      <c r="F38" s="9" t="s">
        <v>15</v>
      </c>
      <c r="G38" s="10">
        <v>45791</v>
      </c>
      <c r="H38" s="9" t="s">
        <v>35</v>
      </c>
      <c r="I38" s="1" cm="1">
        <f t="array" aca="1" ref="I38" ca="1">IF(F38="ホーム", 0, INDIRECT("距離_" &amp; $A38 &amp; "_" &amp; H38))</f>
        <v>50.9</v>
      </c>
      <c r="J38" s="1">
        <f t="shared" si="0"/>
        <v>15</v>
      </c>
      <c r="K38" s="9" t="s">
        <v>17</v>
      </c>
      <c r="L38" s="10">
        <v>45783</v>
      </c>
      <c r="M38" s="9" t="s">
        <v>29</v>
      </c>
      <c r="N38" s="1" cm="1">
        <f t="array" aca="1" ref="N38" ca="1">IF(K38="ホーム", 0, INDIRECT("距離_" &amp; $A38 &amp; "_" &amp; M38))</f>
        <v>0</v>
      </c>
      <c r="O38" s="1" t="e">
        <f t="shared" si="1"/>
        <v>#NUM!</v>
      </c>
      <c r="P38" s="9" t="s">
        <v>17</v>
      </c>
      <c r="Q38" s="10">
        <v>45787</v>
      </c>
      <c r="R38" s="9" t="s">
        <v>25</v>
      </c>
      <c r="S38" s="1" cm="1">
        <f t="array" aca="1" ref="S38" ca="1">IF(P38="ホーム", 0, INDIRECT("距離_" &amp; $A38 &amp; "_" &amp; R38))</f>
        <v>0</v>
      </c>
      <c r="T38" s="1">
        <f t="shared" si="2"/>
        <v>4</v>
      </c>
    </row>
    <row r="39" spans="1:20" x14ac:dyDescent="0.2">
      <c r="A39" s="9" t="s">
        <v>16</v>
      </c>
      <c r="B39" s="9" t="s">
        <v>17</v>
      </c>
      <c r="C39" s="10">
        <v>45776</v>
      </c>
      <c r="D39" s="9" t="s">
        <v>20</v>
      </c>
      <c r="E39" s="1" cm="1">
        <f t="array" aca="1" ref="E39" ca="1">IF(B39="ホーム", 0, INDIRECT("距離_" &amp; $A39 &amp; "_" &amp; D39))</f>
        <v>0</v>
      </c>
      <c r="F39" s="9" t="s">
        <v>15</v>
      </c>
      <c r="G39" s="10">
        <v>45791</v>
      </c>
      <c r="H39" s="9" t="s">
        <v>23</v>
      </c>
      <c r="I39" s="1" cm="1">
        <f t="array" aca="1" ref="I39" ca="1">IF(F39="ホーム", 0, INDIRECT("距離_" &amp; $A39 &amp; "_" &amp; H39))</f>
        <v>19.8</v>
      </c>
      <c r="J39" s="1">
        <f t="shared" si="0"/>
        <v>15</v>
      </c>
      <c r="K39" s="9" t="s">
        <v>15</v>
      </c>
      <c r="L39" s="10">
        <v>45783</v>
      </c>
      <c r="M39" s="9" t="s">
        <v>24</v>
      </c>
      <c r="N39" s="1" cm="1">
        <f t="array" aca="1" ref="N39" ca="1">IF(K39="ホーム", 0, INDIRECT("距離_" &amp; $A39 &amp; "_" &amp; M39))</f>
        <v>29.8</v>
      </c>
      <c r="O39" s="1" t="e">
        <f t="shared" si="1"/>
        <v>#NUM!</v>
      </c>
      <c r="P39" s="9" t="s">
        <v>17</v>
      </c>
      <c r="Q39" s="10">
        <v>45787</v>
      </c>
      <c r="R39" s="9" t="s">
        <v>22</v>
      </c>
      <c r="S39" s="1" cm="1">
        <f t="array" aca="1" ref="S39" ca="1">IF(P39="ホーム", 0, INDIRECT("距離_" &amp; $A39 &amp; "_" &amp; R39))</f>
        <v>0</v>
      </c>
      <c r="T39" s="1">
        <f t="shared" si="2"/>
        <v>4</v>
      </c>
    </row>
    <row r="40" spans="1:20" x14ac:dyDescent="0.2">
      <c r="A40" s="9" t="s">
        <v>35</v>
      </c>
      <c r="B40" s="9" t="s">
        <v>17</v>
      </c>
      <c r="C40" s="10">
        <v>45798</v>
      </c>
      <c r="D40" s="9" t="s">
        <v>31</v>
      </c>
      <c r="E40" s="1" cm="1">
        <f t="array" aca="1" ref="E40" ca="1">IF(B40="ホーム", 0, INDIRECT("距離_" &amp; $A40 &amp; "_" &amp; D40))</f>
        <v>0</v>
      </c>
      <c r="F40" s="9" t="s">
        <v>17</v>
      </c>
      <c r="G40" s="10">
        <v>45791</v>
      </c>
      <c r="H40" s="9" t="s">
        <v>26</v>
      </c>
      <c r="I40" s="1" cm="1">
        <f t="array" aca="1" ref="I40" ca="1">IF(F40="ホーム", 0, INDIRECT("距離_" &amp; $A40 &amp; "_" &amp; H40))</f>
        <v>0</v>
      </c>
      <c r="J40" s="1" t="e">
        <f t="shared" si="0"/>
        <v>#NUM!</v>
      </c>
      <c r="K40" s="9"/>
      <c r="L40" s="10"/>
      <c r="M40" s="9"/>
      <c r="N40" s="1" t="e" cm="1">
        <f t="array" aca="1" ref="N40" ca="1">IF(K40="ホーム", 0, INDIRECT("距離_" &amp; $A40 &amp; "_" &amp; M40))</f>
        <v>#REF!</v>
      </c>
      <c r="O40" s="1" t="e">
        <f t="shared" si="1"/>
        <v>#NUM!</v>
      </c>
      <c r="P40" s="9" t="s">
        <v>15</v>
      </c>
      <c r="Q40" s="10">
        <v>45788</v>
      </c>
      <c r="R40" s="9" t="s">
        <v>27</v>
      </c>
      <c r="S40" s="1" cm="1">
        <f t="array" aca="1" ref="S40" ca="1">IF(P40="ホーム", 0, INDIRECT("距離_" &amp; $A40 &amp; "_" &amp; R40))</f>
        <v>385.4</v>
      </c>
      <c r="T40" s="1">
        <f t="shared" si="2"/>
        <v>45788</v>
      </c>
    </row>
    <row r="41" spans="1:20" x14ac:dyDescent="0.2">
      <c r="A41" s="9" t="s">
        <v>33</v>
      </c>
      <c r="B41" s="9" t="s">
        <v>15</v>
      </c>
      <c r="C41" s="10">
        <v>45798</v>
      </c>
      <c r="D41" s="9" t="s">
        <v>23</v>
      </c>
      <c r="E41" s="1" cm="1">
        <f t="array" aca="1" ref="E41" ca="1">IF(B41="ホーム", 0, INDIRECT("距離_" &amp; $A41 &amp; "_" &amp; D41))</f>
        <v>32</v>
      </c>
      <c r="F41" s="9" t="s">
        <v>17</v>
      </c>
      <c r="G41" s="10">
        <v>45780</v>
      </c>
      <c r="H41" s="9" t="s">
        <v>24</v>
      </c>
      <c r="I41" s="1" cm="1">
        <f t="array" aca="1" ref="I41" ca="1">IF(F41="ホーム", 0, INDIRECT("距離_" &amp; $A41 &amp; "_" &amp; H41))</f>
        <v>0</v>
      </c>
      <c r="J41" s="1" t="e">
        <f t="shared" si="0"/>
        <v>#NUM!</v>
      </c>
      <c r="K41" s="9" t="s">
        <v>17</v>
      </c>
      <c r="L41" s="10">
        <v>45783</v>
      </c>
      <c r="M41" s="9" t="s">
        <v>28</v>
      </c>
      <c r="N41" s="1" cm="1">
        <f t="array" aca="1" ref="N41" ca="1">IF(K41="ホーム", 0, INDIRECT("距離_" &amp; $A41 &amp; "_" &amp; M41))</f>
        <v>0</v>
      </c>
      <c r="O41" s="1">
        <f t="shared" si="1"/>
        <v>3</v>
      </c>
      <c r="P41" s="9" t="s">
        <v>15</v>
      </c>
      <c r="Q41" s="10">
        <v>45788</v>
      </c>
      <c r="R41" s="9" t="s">
        <v>30</v>
      </c>
      <c r="S41" s="1" cm="1">
        <f t="array" aca="1" ref="S41" ca="1">IF(P41="ホーム", 0, INDIRECT("距離_" &amp; $A41 &amp; "_" &amp; R41))</f>
        <v>234.1</v>
      </c>
      <c r="T41" s="1">
        <f t="shared" si="2"/>
        <v>5</v>
      </c>
    </row>
    <row r="42" spans="1:20" x14ac:dyDescent="0.2">
      <c r="A42" s="9" t="s">
        <v>29</v>
      </c>
      <c r="B42" s="9" t="s">
        <v>15</v>
      </c>
      <c r="C42" s="10">
        <v>45776</v>
      </c>
      <c r="D42" s="9" t="s">
        <v>14</v>
      </c>
      <c r="E42" s="1" cm="1">
        <f t="array" aca="1" ref="E42" ca="1">IF(B42="ホーム", 0, INDIRECT("距離_" &amp; $A42 &amp; "_" &amp; D42))</f>
        <v>128.6</v>
      </c>
      <c r="F42" s="9" t="s">
        <v>17</v>
      </c>
      <c r="G42" s="10">
        <v>45780</v>
      </c>
      <c r="H42" s="9" t="s">
        <v>19</v>
      </c>
      <c r="I42" s="1" cm="1">
        <f t="array" aca="1" ref="I42" ca="1">IF(F42="ホーム", 0, INDIRECT("距離_" &amp; $A42 &amp; "_" &amp; H42))</f>
        <v>0</v>
      </c>
      <c r="J42" s="1">
        <f t="shared" si="0"/>
        <v>4</v>
      </c>
      <c r="K42" s="9" t="s">
        <v>15</v>
      </c>
      <c r="L42" s="10">
        <v>45783</v>
      </c>
      <c r="M42" s="9" t="s">
        <v>26</v>
      </c>
      <c r="N42" s="1" cm="1">
        <f t="array" aca="1" ref="N42" ca="1">IF(K42="ホーム", 0, INDIRECT("距離_" &amp; $A42 &amp; "_" &amp; M42))</f>
        <v>174</v>
      </c>
      <c r="O42" s="1">
        <f t="shared" si="1"/>
        <v>3</v>
      </c>
      <c r="P42" s="9" t="s">
        <v>17</v>
      </c>
      <c r="Q42" s="10">
        <v>45788</v>
      </c>
      <c r="R42" s="9" t="s">
        <v>18</v>
      </c>
      <c r="S42" s="1" cm="1">
        <f t="array" aca="1" ref="S42" ca="1">IF(P42="ホーム", 0, INDIRECT("距離_" &amp; $A42 &amp; "_" &amp; R42))</f>
        <v>0</v>
      </c>
      <c r="T42" s="1">
        <f t="shared" si="2"/>
        <v>5</v>
      </c>
    </row>
    <row r="43" spans="1:20" x14ac:dyDescent="0.2">
      <c r="A43" s="9" t="s">
        <v>21</v>
      </c>
      <c r="B43" s="9" t="s">
        <v>17</v>
      </c>
      <c r="C43" s="10">
        <v>45776</v>
      </c>
      <c r="D43" s="9" t="s">
        <v>22</v>
      </c>
      <c r="E43" s="1" cm="1">
        <f t="array" aca="1" ref="E43" ca="1">IF(B43="ホーム", 0, INDIRECT("距離_" &amp; $A43 &amp; "_" &amp; D43))</f>
        <v>0</v>
      </c>
      <c r="F43" s="9" t="s">
        <v>15</v>
      </c>
      <c r="G43" s="10">
        <v>45780</v>
      </c>
      <c r="H43" s="9" t="s">
        <v>28</v>
      </c>
      <c r="I43" s="1" cm="1">
        <f t="array" aca="1" ref="I43" ca="1">IF(F43="ホーム", 0, INDIRECT("距離_" &amp; $A43 &amp; "_" &amp; H43))</f>
        <v>364.7</v>
      </c>
      <c r="J43" s="1">
        <f t="shared" si="0"/>
        <v>4</v>
      </c>
      <c r="K43" s="9" t="s">
        <v>17</v>
      </c>
      <c r="L43" s="10">
        <v>45784</v>
      </c>
      <c r="M43" s="9" t="s">
        <v>34</v>
      </c>
      <c r="N43" s="1" cm="1">
        <f t="array" aca="1" ref="N43" ca="1">IF(K43="ホーム", 0, INDIRECT("距離_" &amp; $A43 &amp; "_" &amp; M43))</f>
        <v>0</v>
      </c>
      <c r="O43" s="1">
        <f t="shared" si="1"/>
        <v>4</v>
      </c>
      <c r="P43" s="9" t="s">
        <v>15</v>
      </c>
      <c r="Q43" s="10">
        <v>45788</v>
      </c>
      <c r="R43" s="9" t="s">
        <v>24</v>
      </c>
      <c r="S43" s="1" cm="1">
        <f t="array" aca="1" ref="S43" ca="1">IF(P43="ホーム", 0, INDIRECT("距離_" &amp; $A43 &amp; "_" &amp; R43))</f>
        <v>38.4</v>
      </c>
      <c r="T43" s="1">
        <f t="shared" si="2"/>
        <v>4</v>
      </c>
    </row>
    <row r="44" spans="1:20" x14ac:dyDescent="0.2">
      <c r="A44" s="9" t="s">
        <v>18</v>
      </c>
      <c r="B44" s="9" t="s">
        <v>15</v>
      </c>
      <c r="C44" s="10">
        <v>45776</v>
      </c>
      <c r="D44" s="9" t="s">
        <v>27</v>
      </c>
      <c r="E44" s="1" cm="1">
        <f t="array" aca="1" ref="E44" ca="1">IF(B44="ホーム", 0, INDIRECT("距離_" &amp; $A44 &amp; "_" &amp; D44))</f>
        <v>372.1</v>
      </c>
      <c r="F44" s="9" t="s">
        <v>15</v>
      </c>
      <c r="G44" s="10">
        <v>45780</v>
      </c>
      <c r="H44" s="9" t="s">
        <v>20</v>
      </c>
      <c r="I44" s="1" cm="1">
        <f t="array" aca="1" ref="I44" ca="1">IF(F44="ホーム", 0, INDIRECT("距離_" &amp; $A44 &amp; "_" &amp; H44))</f>
        <v>119.2</v>
      </c>
      <c r="J44" s="1">
        <f t="shared" si="0"/>
        <v>4</v>
      </c>
      <c r="K44" s="9" t="s">
        <v>17</v>
      </c>
      <c r="L44" s="10">
        <v>45784</v>
      </c>
      <c r="M44" s="9" t="s">
        <v>32</v>
      </c>
      <c r="N44" s="1" cm="1">
        <f t="array" aca="1" ref="N44" ca="1">IF(K44="ホーム", 0, INDIRECT("距離_" &amp; $A44 &amp; "_" &amp; M44))</f>
        <v>0</v>
      </c>
      <c r="O44" s="1">
        <f t="shared" si="1"/>
        <v>4</v>
      </c>
      <c r="P44" s="9" t="s">
        <v>15</v>
      </c>
      <c r="Q44" s="10">
        <v>45788</v>
      </c>
      <c r="R44" s="9" t="s">
        <v>29</v>
      </c>
      <c r="S44" s="1" cm="1">
        <f t="array" aca="1" ref="S44" ca="1">IF(P44="ホーム", 0, INDIRECT("距離_" &amp; $A44 &amp; "_" &amp; R44))</f>
        <v>114.8</v>
      </c>
      <c r="T44" s="1">
        <f t="shared" si="2"/>
        <v>4</v>
      </c>
    </row>
    <row r="45" spans="1:20" x14ac:dyDescent="0.2">
      <c r="A45" s="9" t="s">
        <v>31</v>
      </c>
      <c r="B45" s="9" t="s">
        <v>15</v>
      </c>
      <c r="C45" s="10">
        <v>45798</v>
      </c>
      <c r="D45" s="9" t="s">
        <v>35</v>
      </c>
      <c r="E45" s="1" cm="1">
        <f t="array" aca="1" ref="E45" ca="1">IF(B45="ホーム", 0, INDIRECT("距離_" &amp; $A45 &amp; "_" &amp; D45))</f>
        <v>412.3</v>
      </c>
      <c r="F45" s="9" t="s">
        <v>17</v>
      </c>
      <c r="G45" s="10">
        <v>45780</v>
      </c>
      <c r="H45" s="9" t="s">
        <v>25</v>
      </c>
      <c r="I45" s="1" cm="1">
        <f t="array" aca="1" ref="I45" ca="1">IF(F45="ホーム", 0, INDIRECT("距離_" &amp; $A45 &amp; "_" &amp; H45))</f>
        <v>0</v>
      </c>
      <c r="J45" s="1" t="e">
        <f t="shared" si="0"/>
        <v>#NUM!</v>
      </c>
      <c r="K45" s="9" t="s">
        <v>17</v>
      </c>
      <c r="L45" s="10">
        <v>45783</v>
      </c>
      <c r="M45" s="9" t="s">
        <v>27</v>
      </c>
      <c r="N45" s="1" cm="1">
        <f t="array" aca="1" ref="N45" ca="1">IF(K45="ホーム", 0, INDIRECT("距離_" &amp; $A45 &amp; "_" &amp; M45))</f>
        <v>0</v>
      </c>
      <c r="O45" s="1">
        <f t="shared" si="1"/>
        <v>3</v>
      </c>
      <c r="P45" s="9" t="s">
        <v>15</v>
      </c>
      <c r="Q45" s="10">
        <v>45787</v>
      </c>
      <c r="R45" s="9" t="s">
        <v>14</v>
      </c>
      <c r="S45" s="1" cm="1">
        <f t="array" aca="1" ref="S45" ca="1">IF(P45="ホーム", 0, INDIRECT("距離_" &amp; $A45 &amp; "_" &amp; R45))</f>
        <v>409.1</v>
      </c>
      <c r="T45" s="1">
        <f t="shared" si="2"/>
        <v>4</v>
      </c>
    </row>
    <row r="46" spans="1:20" x14ac:dyDescent="0.2">
      <c r="A46" s="9" t="s">
        <v>22</v>
      </c>
      <c r="B46" s="9" t="s">
        <v>15</v>
      </c>
      <c r="C46" s="10">
        <v>45776</v>
      </c>
      <c r="D46" s="9" t="s">
        <v>21</v>
      </c>
      <c r="E46" s="1" cm="1">
        <f t="array" aca="1" ref="E46" ca="1">IF(B46="ホーム", 0, INDIRECT("距離_" &amp; $A46 &amp; "_" &amp; D46))</f>
        <v>860.4</v>
      </c>
      <c r="F46" s="9" t="s">
        <v>15</v>
      </c>
      <c r="G46" s="10">
        <v>45780</v>
      </c>
      <c r="H46" s="9" t="s">
        <v>34</v>
      </c>
      <c r="I46" s="1" cm="1">
        <f t="array" aca="1" ref="I46" ca="1">IF(F46="ホーム", 0, INDIRECT("距離_" &amp; $A46 &amp; "_" &amp; H46))</f>
        <v>212.8</v>
      </c>
      <c r="J46" s="1">
        <f t="shared" si="0"/>
        <v>4</v>
      </c>
      <c r="K46" s="9" t="s">
        <v>17</v>
      </c>
      <c r="L46" s="10">
        <v>45783</v>
      </c>
      <c r="M46" s="9" t="s">
        <v>20</v>
      </c>
      <c r="N46" s="1" cm="1">
        <f t="array" aca="1" ref="N46" ca="1">IF(K46="ホーム", 0, INDIRECT("距離_" &amp; $A46 &amp; "_" &amp; M46))</f>
        <v>0</v>
      </c>
      <c r="O46" s="1">
        <f t="shared" si="1"/>
        <v>3</v>
      </c>
      <c r="P46" s="9" t="s">
        <v>15</v>
      </c>
      <c r="Q46" s="10">
        <v>45787</v>
      </c>
      <c r="R46" s="9" t="s">
        <v>16</v>
      </c>
      <c r="S46" s="1" cm="1">
        <f t="array" aca="1" ref="S46" ca="1">IF(P46="ホーム", 0, INDIRECT("距離_" &amp; $A46 &amp; "_" &amp; R46))</f>
        <v>871.4</v>
      </c>
      <c r="T46" s="1">
        <f t="shared" si="2"/>
        <v>4</v>
      </c>
    </row>
    <row r="47" spans="1:20" x14ac:dyDescent="0.2">
      <c r="A47" s="9" t="s">
        <v>20</v>
      </c>
      <c r="B47" s="9" t="s">
        <v>15</v>
      </c>
      <c r="C47" s="10">
        <v>45776</v>
      </c>
      <c r="D47" s="9" t="s">
        <v>16</v>
      </c>
      <c r="E47" s="1" cm="1">
        <f t="array" aca="1" ref="E47" ca="1">IF(B47="ホーム", 0, INDIRECT("距離_" &amp; $A47 &amp; "_" &amp; D47))</f>
        <v>115.2</v>
      </c>
      <c r="F47" s="9" t="s">
        <v>17</v>
      </c>
      <c r="G47" s="10">
        <v>45780</v>
      </c>
      <c r="H47" s="9" t="s">
        <v>18</v>
      </c>
      <c r="I47" s="1" cm="1">
        <f t="array" aca="1" ref="I47" ca="1">IF(F47="ホーム", 0, INDIRECT("距離_" &amp; $A47 &amp; "_" &amp; H47))</f>
        <v>0</v>
      </c>
      <c r="J47" s="1">
        <f t="shared" si="0"/>
        <v>4</v>
      </c>
      <c r="K47" s="9" t="s">
        <v>15</v>
      </c>
      <c r="L47" s="10">
        <v>45783</v>
      </c>
      <c r="M47" s="9" t="s">
        <v>22</v>
      </c>
      <c r="N47" s="1" cm="1">
        <f t="array" aca="1" ref="N47" ca="1">IF(K47="ホーム", 0, INDIRECT("距離_" &amp; $A47 &amp; "_" &amp; M47))</f>
        <v>977.4</v>
      </c>
      <c r="O47" s="1">
        <f t="shared" si="1"/>
        <v>3</v>
      </c>
      <c r="P47" s="9" t="s">
        <v>17</v>
      </c>
      <c r="Q47" s="10">
        <v>45788</v>
      </c>
      <c r="R47" s="9" t="s">
        <v>23</v>
      </c>
      <c r="S47" s="1" cm="1">
        <f t="array" aca="1" ref="S47" ca="1">IF(P47="ホーム", 0, INDIRECT("距離_" &amp; $A47 &amp; "_" &amp; R47))</f>
        <v>0</v>
      </c>
      <c r="T47" s="1">
        <f t="shared" si="2"/>
        <v>5</v>
      </c>
    </row>
    <row r="48" spans="1:20" x14ac:dyDescent="0.2">
      <c r="A48" s="9" t="s">
        <v>27</v>
      </c>
      <c r="B48" s="9" t="s">
        <v>17</v>
      </c>
      <c r="C48" s="10">
        <v>45776</v>
      </c>
      <c r="D48" s="9" t="s">
        <v>18</v>
      </c>
      <c r="E48" s="1" cm="1">
        <f t="array" aca="1" ref="E48" ca="1">IF(B48="ホーム", 0, INDIRECT("距離_" &amp; $A48 &amp; "_" &amp; D48))</f>
        <v>0</v>
      </c>
      <c r="F48" s="9" t="s">
        <v>15</v>
      </c>
      <c r="G48" s="10">
        <v>45780</v>
      </c>
      <c r="H48" s="9" t="s">
        <v>32</v>
      </c>
      <c r="I48" s="1" cm="1">
        <f t="array" aca="1" ref="I48" ca="1">IF(F48="ホーム", 0, INDIRECT("距離_" &amp; $A48 &amp; "_" &amp; H48))</f>
        <v>47</v>
      </c>
      <c r="J48" s="1">
        <f t="shared" si="0"/>
        <v>4</v>
      </c>
      <c r="K48" s="9" t="s">
        <v>15</v>
      </c>
      <c r="L48" s="10">
        <v>45783</v>
      </c>
      <c r="M48" s="9" t="s">
        <v>31</v>
      </c>
      <c r="N48" s="1" cm="1">
        <f t="array" aca="1" ref="N48" ca="1">IF(K48="ホーム", 0, INDIRECT("距離_" &amp; $A48 &amp; "_" &amp; M48))</f>
        <v>29.5</v>
      </c>
      <c r="O48" s="1">
        <f t="shared" si="1"/>
        <v>3</v>
      </c>
      <c r="P48" s="9" t="s">
        <v>17</v>
      </c>
      <c r="Q48" s="10">
        <v>45788</v>
      </c>
      <c r="R48" s="9" t="s">
        <v>35</v>
      </c>
      <c r="S48" s="1" cm="1">
        <f t="array" aca="1" ref="S48" ca="1">IF(P48="ホーム", 0, INDIRECT("距離_" &amp; $A48 &amp; "_" &amp; R48))</f>
        <v>0</v>
      </c>
      <c r="T48" s="1">
        <f t="shared" si="2"/>
        <v>5</v>
      </c>
    </row>
    <row r="49" spans="1:20" x14ac:dyDescent="0.2">
      <c r="A49" s="9" t="s">
        <v>28</v>
      </c>
      <c r="B49" s="9" t="s">
        <v>17</v>
      </c>
      <c r="C49" s="10">
        <v>45776</v>
      </c>
      <c r="D49" s="9" t="s">
        <v>32</v>
      </c>
      <c r="E49" s="1" cm="1">
        <f t="array" aca="1" ref="E49" ca="1">IF(B49="ホーム", 0, INDIRECT("距離_" &amp; $A49 &amp; "_" &amp; D49))</f>
        <v>0</v>
      </c>
      <c r="F49" s="9" t="s">
        <v>17</v>
      </c>
      <c r="G49" s="10">
        <v>45780</v>
      </c>
      <c r="H49" s="9" t="s">
        <v>21</v>
      </c>
      <c r="I49" s="1" cm="1">
        <f t="array" aca="1" ref="I49" ca="1">IF(F49="ホーム", 0, INDIRECT("距離_" &amp; $A49 &amp; "_" &amp; H49))</f>
        <v>0</v>
      </c>
      <c r="J49" s="1">
        <f t="shared" si="0"/>
        <v>4</v>
      </c>
      <c r="K49" s="9" t="s">
        <v>15</v>
      </c>
      <c r="L49" s="10">
        <v>45783</v>
      </c>
      <c r="M49" s="9" t="s">
        <v>33</v>
      </c>
      <c r="N49" s="1" cm="1">
        <f t="array" aca="1" ref="N49" ca="1">IF(K49="ホーム", 0, INDIRECT("距離_" &amp; $A49 &amp; "_" &amp; M49))</f>
        <v>392.2</v>
      </c>
      <c r="O49" s="1">
        <f t="shared" si="1"/>
        <v>3</v>
      </c>
      <c r="P49" s="9" t="s">
        <v>17</v>
      </c>
      <c r="Q49" s="10">
        <v>45788</v>
      </c>
      <c r="R49" s="9" t="s">
        <v>34</v>
      </c>
      <c r="S49" s="1" cm="1">
        <f t="array" aca="1" ref="S49" ca="1">IF(P49="ホーム", 0, INDIRECT("距離_" &amp; $A49 &amp; "_" &amp; R49))</f>
        <v>0</v>
      </c>
      <c r="T49" s="1">
        <f t="shared" si="2"/>
        <v>5</v>
      </c>
    </row>
    <row r="52" spans="1:20" x14ac:dyDescent="0.2">
      <c r="D52" s="9" t="s">
        <v>63</v>
      </c>
    </row>
    <row r="53" spans="1:20" x14ac:dyDescent="0.2">
      <c r="D53" s="1" t="s">
        <v>61</v>
      </c>
    </row>
    <row r="54" spans="1:20" x14ac:dyDescent="0.2">
      <c r="D54" s="1" t="s">
        <v>52</v>
      </c>
      <c r="E54" s="1" t="s">
        <v>53</v>
      </c>
    </row>
    <row r="55" spans="1:20" x14ac:dyDescent="0.2">
      <c r="E55" s="1" t="s">
        <v>54</v>
      </c>
      <c r="F55" s="1" t="s">
        <v>55</v>
      </c>
    </row>
    <row r="56" spans="1:20" x14ac:dyDescent="0.2">
      <c r="E56" s="1" t="s">
        <v>56</v>
      </c>
      <c r="F56" s="1" t="s">
        <v>57</v>
      </c>
    </row>
    <row r="57" spans="1:20" x14ac:dyDescent="0.2">
      <c r="E57" s="1" t="s">
        <v>58</v>
      </c>
      <c r="F57" s="1" t="s">
        <v>59</v>
      </c>
    </row>
    <row r="58" spans="1:20" x14ac:dyDescent="0.2">
      <c r="E58" s="1" t="s">
        <v>60</v>
      </c>
      <c r="F58" s="1" t="s">
        <v>62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400</vt:i4>
      </vt:variant>
    </vt:vector>
  </HeadingPairs>
  <TitlesOfParts>
    <vt:vector size="401" baseType="lpstr">
      <vt:lpstr>J1_距離</vt:lpstr>
      <vt:lpstr>距離_Ｃ大阪_Ｃ大阪</vt:lpstr>
      <vt:lpstr>距離_Ｃ大阪_FC東京</vt:lpstr>
      <vt:lpstr>距離_Ｃ大阪_Ｇ大阪</vt:lpstr>
      <vt:lpstr>距離_Ｃ大阪_浦和</vt:lpstr>
      <vt:lpstr>距離_Ｃ大阪_横浜FC</vt:lpstr>
      <vt:lpstr>距離_Ｃ大阪_横浜FM</vt:lpstr>
      <vt:lpstr>距離_Ｃ大阪_岡山</vt:lpstr>
      <vt:lpstr>距離_Ｃ大阪_京都</vt:lpstr>
      <vt:lpstr>距離_Ｃ大阪_広島</vt:lpstr>
      <vt:lpstr>距離_Ｃ大阪_鹿島</vt:lpstr>
      <vt:lpstr>距離_Ｃ大阪_湘南</vt:lpstr>
      <vt:lpstr>距離_Ｃ大阪_新潟</vt:lpstr>
      <vt:lpstr>距離_Ｃ大阪_神戸</vt:lpstr>
      <vt:lpstr>距離_Ｃ大阪_清水</vt:lpstr>
      <vt:lpstr>距離_Ｃ大阪_川崎Ｆ</vt:lpstr>
      <vt:lpstr>距離_Ｃ大阪_町田</vt:lpstr>
      <vt:lpstr>距離_Ｃ大阪_東京Ｖ</vt:lpstr>
      <vt:lpstr>距離_Ｃ大阪_柏</vt:lpstr>
      <vt:lpstr>距離_Ｃ大阪_福岡</vt:lpstr>
      <vt:lpstr>距離_Ｃ大阪_名古屋</vt:lpstr>
      <vt:lpstr>距離_FC東京_Ｃ大阪</vt:lpstr>
      <vt:lpstr>距離_FC東京_FC東京</vt:lpstr>
      <vt:lpstr>距離_FC東京_Ｇ大阪</vt:lpstr>
      <vt:lpstr>距離_FC東京_浦和</vt:lpstr>
      <vt:lpstr>距離_FC東京_横浜FC</vt:lpstr>
      <vt:lpstr>距離_FC東京_横浜FM</vt:lpstr>
      <vt:lpstr>距離_FC東京_岡山</vt:lpstr>
      <vt:lpstr>距離_FC東京_京都</vt:lpstr>
      <vt:lpstr>距離_FC東京_広島</vt:lpstr>
      <vt:lpstr>距離_FC東京_鹿島</vt:lpstr>
      <vt:lpstr>距離_FC東京_湘南</vt:lpstr>
      <vt:lpstr>距離_FC東京_新潟</vt:lpstr>
      <vt:lpstr>距離_FC東京_神戸</vt:lpstr>
      <vt:lpstr>距離_FC東京_清水</vt:lpstr>
      <vt:lpstr>距離_FC東京_川崎Ｆ</vt:lpstr>
      <vt:lpstr>距離_FC東京_町田</vt:lpstr>
      <vt:lpstr>距離_FC東京_東京Ｖ</vt:lpstr>
      <vt:lpstr>距離_FC東京_柏</vt:lpstr>
      <vt:lpstr>距離_FC東京_福岡</vt:lpstr>
      <vt:lpstr>距離_FC東京_名古屋</vt:lpstr>
      <vt:lpstr>距離_Ｇ大阪_Ｃ大阪</vt:lpstr>
      <vt:lpstr>距離_Ｇ大阪_FC東京</vt:lpstr>
      <vt:lpstr>距離_Ｇ大阪_Ｇ大阪</vt:lpstr>
      <vt:lpstr>距離_Ｇ大阪_浦和</vt:lpstr>
      <vt:lpstr>距離_Ｇ大阪_横浜FC</vt:lpstr>
      <vt:lpstr>距離_Ｇ大阪_横浜FM</vt:lpstr>
      <vt:lpstr>距離_Ｇ大阪_岡山</vt:lpstr>
      <vt:lpstr>距離_Ｇ大阪_京都</vt:lpstr>
      <vt:lpstr>距離_Ｇ大阪_広島</vt:lpstr>
      <vt:lpstr>距離_Ｇ大阪_鹿島</vt:lpstr>
      <vt:lpstr>距離_Ｇ大阪_湘南</vt:lpstr>
      <vt:lpstr>距離_Ｇ大阪_新潟</vt:lpstr>
      <vt:lpstr>距離_Ｇ大阪_神戸</vt:lpstr>
      <vt:lpstr>距離_Ｇ大阪_清水</vt:lpstr>
      <vt:lpstr>距離_Ｇ大阪_川崎Ｆ</vt:lpstr>
      <vt:lpstr>距離_Ｇ大阪_町田</vt:lpstr>
      <vt:lpstr>距離_Ｇ大阪_東京Ｖ</vt:lpstr>
      <vt:lpstr>距離_Ｇ大阪_柏</vt:lpstr>
      <vt:lpstr>距離_Ｇ大阪_福岡</vt:lpstr>
      <vt:lpstr>距離_Ｇ大阪_名古屋</vt:lpstr>
      <vt:lpstr>距離_浦和_Ｃ大阪</vt:lpstr>
      <vt:lpstr>距離_浦和_FC東京</vt:lpstr>
      <vt:lpstr>距離_浦和_Ｇ大阪</vt:lpstr>
      <vt:lpstr>距離_浦和_浦和</vt:lpstr>
      <vt:lpstr>距離_浦和_横浜FC</vt:lpstr>
      <vt:lpstr>距離_浦和_横浜FM</vt:lpstr>
      <vt:lpstr>距離_浦和_岡山</vt:lpstr>
      <vt:lpstr>距離_浦和_京都</vt:lpstr>
      <vt:lpstr>距離_浦和_広島</vt:lpstr>
      <vt:lpstr>距離_浦和_鹿島</vt:lpstr>
      <vt:lpstr>距離_浦和_湘南</vt:lpstr>
      <vt:lpstr>距離_浦和_新潟</vt:lpstr>
      <vt:lpstr>距離_浦和_神戸</vt:lpstr>
      <vt:lpstr>距離_浦和_清水</vt:lpstr>
      <vt:lpstr>距離_浦和_川崎Ｆ</vt:lpstr>
      <vt:lpstr>距離_浦和_町田</vt:lpstr>
      <vt:lpstr>距離_浦和_東京Ｖ</vt:lpstr>
      <vt:lpstr>距離_浦和_柏</vt:lpstr>
      <vt:lpstr>距離_浦和_福岡</vt:lpstr>
      <vt:lpstr>距離_浦和_名古屋</vt:lpstr>
      <vt:lpstr>距離_横浜FC_Ｃ大阪</vt:lpstr>
      <vt:lpstr>距離_横浜FC_FC東京</vt:lpstr>
      <vt:lpstr>距離_横浜FC_Ｇ大阪</vt:lpstr>
      <vt:lpstr>距離_横浜FC_浦和</vt:lpstr>
      <vt:lpstr>距離_横浜FC_横浜FC</vt:lpstr>
      <vt:lpstr>距離_横浜FC_横浜FM</vt:lpstr>
      <vt:lpstr>距離_横浜FC_岡山</vt:lpstr>
      <vt:lpstr>距離_横浜FC_京都</vt:lpstr>
      <vt:lpstr>距離_横浜FC_広島</vt:lpstr>
      <vt:lpstr>距離_横浜FC_鹿島</vt:lpstr>
      <vt:lpstr>距離_横浜FC_湘南</vt:lpstr>
      <vt:lpstr>距離_横浜FC_新潟</vt:lpstr>
      <vt:lpstr>距離_横浜FC_神戸</vt:lpstr>
      <vt:lpstr>距離_横浜FC_清水</vt:lpstr>
      <vt:lpstr>距離_横浜FC_川崎Ｆ</vt:lpstr>
      <vt:lpstr>距離_横浜FC_町田</vt:lpstr>
      <vt:lpstr>距離_横浜FC_東京Ｖ</vt:lpstr>
      <vt:lpstr>距離_横浜FC_柏</vt:lpstr>
      <vt:lpstr>距離_横浜FC_福岡</vt:lpstr>
      <vt:lpstr>距離_横浜FC_名古屋</vt:lpstr>
      <vt:lpstr>距離_横浜FM_Ｃ大阪</vt:lpstr>
      <vt:lpstr>距離_横浜FM_FC東京</vt:lpstr>
      <vt:lpstr>距離_横浜FM_Ｇ大阪</vt:lpstr>
      <vt:lpstr>距離_横浜FM_浦和</vt:lpstr>
      <vt:lpstr>距離_横浜FM_横浜FC</vt:lpstr>
      <vt:lpstr>距離_横浜FM_横浜FM</vt:lpstr>
      <vt:lpstr>距離_横浜FM_岡山</vt:lpstr>
      <vt:lpstr>距離_横浜FM_京都</vt:lpstr>
      <vt:lpstr>距離_横浜FM_広島</vt:lpstr>
      <vt:lpstr>距離_横浜FM_鹿島</vt:lpstr>
      <vt:lpstr>距離_横浜FM_湘南</vt:lpstr>
      <vt:lpstr>距離_横浜FM_新潟</vt:lpstr>
      <vt:lpstr>距離_横浜FM_神戸</vt:lpstr>
      <vt:lpstr>距離_横浜FM_清水</vt:lpstr>
      <vt:lpstr>距離_横浜FM_川崎Ｆ</vt:lpstr>
      <vt:lpstr>距離_横浜FM_町田</vt:lpstr>
      <vt:lpstr>距離_横浜FM_東京Ｖ</vt:lpstr>
      <vt:lpstr>距離_横浜FM_柏</vt:lpstr>
      <vt:lpstr>距離_横浜FM_福岡</vt:lpstr>
      <vt:lpstr>距離_横浜FM_名古屋</vt:lpstr>
      <vt:lpstr>距離_岡山_Ｃ大阪</vt:lpstr>
      <vt:lpstr>距離_岡山_FC東京</vt:lpstr>
      <vt:lpstr>距離_岡山_Ｇ大阪</vt:lpstr>
      <vt:lpstr>距離_岡山_浦和</vt:lpstr>
      <vt:lpstr>距離_岡山_横浜FC</vt:lpstr>
      <vt:lpstr>距離_岡山_横浜FM</vt:lpstr>
      <vt:lpstr>距離_岡山_岡山</vt:lpstr>
      <vt:lpstr>距離_岡山_京都</vt:lpstr>
      <vt:lpstr>距離_岡山_広島</vt:lpstr>
      <vt:lpstr>距離_岡山_鹿島</vt:lpstr>
      <vt:lpstr>距離_岡山_湘南</vt:lpstr>
      <vt:lpstr>距離_岡山_新潟</vt:lpstr>
      <vt:lpstr>距離_岡山_神戸</vt:lpstr>
      <vt:lpstr>距離_岡山_清水</vt:lpstr>
      <vt:lpstr>距離_岡山_川崎Ｆ</vt:lpstr>
      <vt:lpstr>距離_岡山_町田</vt:lpstr>
      <vt:lpstr>距離_岡山_東京Ｖ</vt:lpstr>
      <vt:lpstr>距離_岡山_柏</vt:lpstr>
      <vt:lpstr>距離_岡山_福岡</vt:lpstr>
      <vt:lpstr>距離_岡山_名古屋</vt:lpstr>
      <vt:lpstr>距離_京都_Ｃ大阪</vt:lpstr>
      <vt:lpstr>距離_京都_FC東京</vt:lpstr>
      <vt:lpstr>距離_京都_Ｇ大阪</vt:lpstr>
      <vt:lpstr>距離_京都_浦和</vt:lpstr>
      <vt:lpstr>距離_京都_横浜FC</vt:lpstr>
      <vt:lpstr>距離_京都_横浜FM</vt:lpstr>
      <vt:lpstr>距離_京都_岡山</vt:lpstr>
      <vt:lpstr>距離_京都_京都</vt:lpstr>
      <vt:lpstr>距離_京都_広島</vt:lpstr>
      <vt:lpstr>距離_京都_鹿島</vt:lpstr>
      <vt:lpstr>距離_京都_湘南</vt:lpstr>
      <vt:lpstr>距離_京都_新潟</vt:lpstr>
      <vt:lpstr>距離_京都_神戸</vt:lpstr>
      <vt:lpstr>距離_京都_清水</vt:lpstr>
      <vt:lpstr>距離_京都_川崎Ｆ</vt:lpstr>
      <vt:lpstr>距離_京都_町田</vt:lpstr>
      <vt:lpstr>距離_京都_東京Ｖ</vt:lpstr>
      <vt:lpstr>距離_京都_柏</vt:lpstr>
      <vt:lpstr>距離_京都_福岡</vt:lpstr>
      <vt:lpstr>距離_京都_名古屋</vt:lpstr>
      <vt:lpstr>距離_広島_Ｃ大阪</vt:lpstr>
      <vt:lpstr>距離_広島_FC東京</vt:lpstr>
      <vt:lpstr>距離_広島_Ｇ大阪</vt:lpstr>
      <vt:lpstr>距離_広島_浦和</vt:lpstr>
      <vt:lpstr>距離_広島_横浜FC</vt:lpstr>
      <vt:lpstr>距離_広島_横浜FM</vt:lpstr>
      <vt:lpstr>距離_広島_岡山</vt:lpstr>
      <vt:lpstr>距離_広島_京都</vt:lpstr>
      <vt:lpstr>距離_広島_広島</vt:lpstr>
      <vt:lpstr>距離_広島_鹿島</vt:lpstr>
      <vt:lpstr>距離_広島_湘南</vt:lpstr>
      <vt:lpstr>距離_広島_新潟</vt:lpstr>
      <vt:lpstr>距離_広島_神戸</vt:lpstr>
      <vt:lpstr>距離_広島_清水</vt:lpstr>
      <vt:lpstr>距離_広島_川崎Ｆ</vt:lpstr>
      <vt:lpstr>距離_広島_町田</vt:lpstr>
      <vt:lpstr>距離_広島_東京Ｖ</vt:lpstr>
      <vt:lpstr>距離_広島_柏</vt:lpstr>
      <vt:lpstr>距離_広島_福岡</vt:lpstr>
      <vt:lpstr>距離_広島_名古屋</vt:lpstr>
      <vt:lpstr>距離_鹿島_Ｃ大阪</vt:lpstr>
      <vt:lpstr>距離_鹿島_FC東京</vt:lpstr>
      <vt:lpstr>距離_鹿島_Ｇ大阪</vt:lpstr>
      <vt:lpstr>距離_鹿島_浦和</vt:lpstr>
      <vt:lpstr>距離_鹿島_横浜FC</vt:lpstr>
      <vt:lpstr>距離_鹿島_横浜FM</vt:lpstr>
      <vt:lpstr>距離_鹿島_岡山</vt:lpstr>
      <vt:lpstr>距離_鹿島_京都</vt:lpstr>
      <vt:lpstr>距離_鹿島_広島</vt:lpstr>
      <vt:lpstr>距離_鹿島_鹿島</vt:lpstr>
      <vt:lpstr>距離_鹿島_湘南</vt:lpstr>
      <vt:lpstr>距離_鹿島_新潟</vt:lpstr>
      <vt:lpstr>距離_鹿島_神戸</vt:lpstr>
      <vt:lpstr>距離_鹿島_清水</vt:lpstr>
      <vt:lpstr>距離_鹿島_川崎Ｆ</vt:lpstr>
      <vt:lpstr>距離_鹿島_町田</vt:lpstr>
      <vt:lpstr>距離_鹿島_東京Ｖ</vt:lpstr>
      <vt:lpstr>距離_鹿島_柏</vt:lpstr>
      <vt:lpstr>距離_鹿島_福岡</vt:lpstr>
      <vt:lpstr>距離_鹿島_名古屋</vt:lpstr>
      <vt:lpstr>距離_湘南_Ｃ大阪</vt:lpstr>
      <vt:lpstr>距離_湘南_FC東京</vt:lpstr>
      <vt:lpstr>距離_湘南_Ｇ大阪</vt:lpstr>
      <vt:lpstr>距離_湘南_浦和</vt:lpstr>
      <vt:lpstr>距離_湘南_横浜FC</vt:lpstr>
      <vt:lpstr>距離_湘南_横浜FM</vt:lpstr>
      <vt:lpstr>距離_湘南_岡山</vt:lpstr>
      <vt:lpstr>距離_湘南_京都</vt:lpstr>
      <vt:lpstr>距離_湘南_広島</vt:lpstr>
      <vt:lpstr>距離_湘南_鹿島</vt:lpstr>
      <vt:lpstr>距離_湘南_湘南</vt:lpstr>
      <vt:lpstr>距離_湘南_新潟</vt:lpstr>
      <vt:lpstr>距離_湘南_神戸</vt:lpstr>
      <vt:lpstr>距離_湘南_清水</vt:lpstr>
      <vt:lpstr>距離_湘南_川崎Ｆ</vt:lpstr>
      <vt:lpstr>距離_湘南_町田</vt:lpstr>
      <vt:lpstr>距離_湘南_東京Ｖ</vt:lpstr>
      <vt:lpstr>距離_湘南_柏</vt:lpstr>
      <vt:lpstr>距離_湘南_福岡</vt:lpstr>
      <vt:lpstr>距離_湘南_名古屋</vt:lpstr>
      <vt:lpstr>距離_新潟_Ｃ大阪</vt:lpstr>
      <vt:lpstr>距離_新潟_FC東京</vt:lpstr>
      <vt:lpstr>距離_新潟_Ｇ大阪</vt:lpstr>
      <vt:lpstr>距離_新潟_浦和</vt:lpstr>
      <vt:lpstr>距離_新潟_横浜FC</vt:lpstr>
      <vt:lpstr>距離_新潟_横浜FM</vt:lpstr>
      <vt:lpstr>距離_新潟_岡山</vt:lpstr>
      <vt:lpstr>距離_新潟_京都</vt:lpstr>
      <vt:lpstr>距離_新潟_広島</vt:lpstr>
      <vt:lpstr>距離_新潟_鹿島</vt:lpstr>
      <vt:lpstr>距離_新潟_湘南</vt:lpstr>
      <vt:lpstr>距離_新潟_新潟</vt:lpstr>
      <vt:lpstr>距離_新潟_神戸</vt:lpstr>
      <vt:lpstr>距離_新潟_清水</vt:lpstr>
      <vt:lpstr>距離_新潟_川崎Ｆ</vt:lpstr>
      <vt:lpstr>距離_新潟_町田</vt:lpstr>
      <vt:lpstr>距離_新潟_東京Ｖ</vt:lpstr>
      <vt:lpstr>距離_新潟_柏</vt:lpstr>
      <vt:lpstr>距離_新潟_福岡</vt:lpstr>
      <vt:lpstr>距離_新潟_名古屋</vt:lpstr>
      <vt:lpstr>距離_神戸_Ｃ大阪</vt:lpstr>
      <vt:lpstr>距離_神戸_FC東京</vt:lpstr>
      <vt:lpstr>距離_神戸_Ｇ大阪</vt:lpstr>
      <vt:lpstr>距離_神戸_浦和</vt:lpstr>
      <vt:lpstr>距離_神戸_横浜FC</vt:lpstr>
      <vt:lpstr>距離_神戸_横浜FM</vt:lpstr>
      <vt:lpstr>距離_神戸_岡山</vt:lpstr>
      <vt:lpstr>距離_神戸_京都</vt:lpstr>
      <vt:lpstr>距離_神戸_広島</vt:lpstr>
      <vt:lpstr>距離_神戸_鹿島</vt:lpstr>
      <vt:lpstr>距離_神戸_湘南</vt:lpstr>
      <vt:lpstr>距離_神戸_新潟</vt:lpstr>
      <vt:lpstr>距離_神戸_神戸</vt:lpstr>
      <vt:lpstr>距離_神戸_清水</vt:lpstr>
      <vt:lpstr>距離_神戸_川崎Ｆ</vt:lpstr>
      <vt:lpstr>距離_神戸_町田</vt:lpstr>
      <vt:lpstr>距離_神戸_東京Ｖ</vt:lpstr>
      <vt:lpstr>距離_神戸_柏</vt:lpstr>
      <vt:lpstr>距離_神戸_福岡</vt:lpstr>
      <vt:lpstr>距離_神戸_名古屋</vt:lpstr>
      <vt:lpstr>距離_清水_Ｃ大阪</vt:lpstr>
      <vt:lpstr>距離_清水_FC東京</vt:lpstr>
      <vt:lpstr>距離_清水_Ｇ大阪</vt:lpstr>
      <vt:lpstr>距離_清水_浦和</vt:lpstr>
      <vt:lpstr>距離_清水_横浜FC</vt:lpstr>
      <vt:lpstr>距離_清水_横浜FM</vt:lpstr>
      <vt:lpstr>距離_清水_岡山</vt:lpstr>
      <vt:lpstr>距離_清水_京都</vt:lpstr>
      <vt:lpstr>距離_清水_広島</vt:lpstr>
      <vt:lpstr>距離_清水_鹿島</vt:lpstr>
      <vt:lpstr>距離_清水_湘南</vt:lpstr>
      <vt:lpstr>距離_清水_新潟</vt:lpstr>
      <vt:lpstr>距離_清水_神戸</vt:lpstr>
      <vt:lpstr>距離_清水_清水</vt:lpstr>
      <vt:lpstr>距離_清水_川崎Ｆ</vt:lpstr>
      <vt:lpstr>距離_清水_町田</vt:lpstr>
      <vt:lpstr>距離_清水_東京Ｖ</vt:lpstr>
      <vt:lpstr>距離_清水_柏</vt:lpstr>
      <vt:lpstr>距離_清水_福岡</vt:lpstr>
      <vt:lpstr>距離_清水_名古屋</vt:lpstr>
      <vt:lpstr>距離_川崎Ｆ_Ｃ大阪</vt:lpstr>
      <vt:lpstr>距離_川崎Ｆ_FC東京</vt:lpstr>
      <vt:lpstr>距離_川崎Ｆ_Ｇ大阪</vt:lpstr>
      <vt:lpstr>距離_川崎Ｆ_浦和</vt:lpstr>
      <vt:lpstr>距離_川崎Ｆ_横浜FC</vt:lpstr>
      <vt:lpstr>距離_川崎Ｆ_横浜FM</vt:lpstr>
      <vt:lpstr>距離_川崎Ｆ_岡山</vt:lpstr>
      <vt:lpstr>距離_川崎Ｆ_京都</vt:lpstr>
      <vt:lpstr>距離_川崎Ｆ_広島</vt:lpstr>
      <vt:lpstr>距離_川崎Ｆ_鹿島</vt:lpstr>
      <vt:lpstr>距離_川崎Ｆ_湘南</vt:lpstr>
      <vt:lpstr>距離_川崎Ｆ_新潟</vt:lpstr>
      <vt:lpstr>距離_川崎Ｆ_神戸</vt:lpstr>
      <vt:lpstr>距離_川崎Ｆ_清水</vt:lpstr>
      <vt:lpstr>距離_川崎Ｆ_川崎Ｆ</vt:lpstr>
      <vt:lpstr>距離_川崎Ｆ_町田</vt:lpstr>
      <vt:lpstr>距離_川崎Ｆ_東京Ｖ</vt:lpstr>
      <vt:lpstr>距離_川崎Ｆ_柏</vt:lpstr>
      <vt:lpstr>距離_川崎Ｆ_福岡</vt:lpstr>
      <vt:lpstr>距離_川崎Ｆ_名古屋</vt:lpstr>
      <vt:lpstr>距離_町田_Ｃ大阪</vt:lpstr>
      <vt:lpstr>距離_町田_FC東京</vt:lpstr>
      <vt:lpstr>距離_町田_Ｇ大阪</vt:lpstr>
      <vt:lpstr>距離_町田_浦和</vt:lpstr>
      <vt:lpstr>距離_町田_横浜FC</vt:lpstr>
      <vt:lpstr>距離_町田_横浜FM</vt:lpstr>
      <vt:lpstr>距離_町田_岡山</vt:lpstr>
      <vt:lpstr>距離_町田_京都</vt:lpstr>
      <vt:lpstr>距離_町田_広島</vt:lpstr>
      <vt:lpstr>距離_町田_鹿島</vt:lpstr>
      <vt:lpstr>距離_町田_湘南</vt:lpstr>
      <vt:lpstr>距離_町田_新潟</vt:lpstr>
      <vt:lpstr>距離_町田_神戸</vt:lpstr>
      <vt:lpstr>距離_町田_清水</vt:lpstr>
      <vt:lpstr>距離_町田_川崎Ｆ</vt:lpstr>
      <vt:lpstr>距離_町田_町田</vt:lpstr>
      <vt:lpstr>距離_町田_東京Ｖ</vt:lpstr>
      <vt:lpstr>距離_町田_柏</vt:lpstr>
      <vt:lpstr>距離_町田_福岡</vt:lpstr>
      <vt:lpstr>距離_町田_名古屋</vt:lpstr>
      <vt:lpstr>距離_東京Ｖ_Ｃ大阪</vt:lpstr>
      <vt:lpstr>距離_東京Ｖ_FC東京</vt:lpstr>
      <vt:lpstr>距離_東京Ｖ_Ｇ大阪</vt:lpstr>
      <vt:lpstr>距離_東京Ｖ_浦和</vt:lpstr>
      <vt:lpstr>距離_東京Ｖ_横浜FC</vt:lpstr>
      <vt:lpstr>距離_東京Ｖ_横浜FM</vt:lpstr>
      <vt:lpstr>距離_東京Ｖ_岡山</vt:lpstr>
      <vt:lpstr>距離_東京Ｖ_京都</vt:lpstr>
      <vt:lpstr>距離_東京Ｖ_広島</vt:lpstr>
      <vt:lpstr>距離_東京Ｖ_鹿島</vt:lpstr>
      <vt:lpstr>距離_東京Ｖ_湘南</vt:lpstr>
      <vt:lpstr>距離_東京Ｖ_新潟</vt:lpstr>
      <vt:lpstr>距離_東京Ｖ_神戸</vt:lpstr>
      <vt:lpstr>距離_東京Ｖ_清水</vt:lpstr>
      <vt:lpstr>距離_東京Ｖ_川崎Ｆ</vt:lpstr>
      <vt:lpstr>距離_東京Ｖ_町田</vt:lpstr>
      <vt:lpstr>距離_東京Ｖ_東京Ｖ</vt:lpstr>
      <vt:lpstr>距離_東京Ｖ_柏</vt:lpstr>
      <vt:lpstr>距離_東京Ｖ_福岡</vt:lpstr>
      <vt:lpstr>距離_東京Ｖ_名古屋</vt:lpstr>
      <vt:lpstr>距離_柏_Ｃ大阪</vt:lpstr>
      <vt:lpstr>距離_柏_FC東京</vt:lpstr>
      <vt:lpstr>距離_柏_Ｇ大阪</vt:lpstr>
      <vt:lpstr>距離_柏_浦和</vt:lpstr>
      <vt:lpstr>距離_柏_横浜FC</vt:lpstr>
      <vt:lpstr>距離_柏_横浜FM</vt:lpstr>
      <vt:lpstr>距離_柏_岡山</vt:lpstr>
      <vt:lpstr>距離_柏_京都</vt:lpstr>
      <vt:lpstr>距離_柏_広島</vt:lpstr>
      <vt:lpstr>距離_柏_鹿島</vt:lpstr>
      <vt:lpstr>距離_柏_湘南</vt:lpstr>
      <vt:lpstr>距離_柏_新潟</vt:lpstr>
      <vt:lpstr>距離_柏_神戸</vt:lpstr>
      <vt:lpstr>距離_柏_清水</vt:lpstr>
      <vt:lpstr>距離_柏_川崎Ｆ</vt:lpstr>
      <vt:lpstr>距離_柏_町田</vt:lpstr>
      <vt:lpstr>距離_柏_東京Ｖ</vt:lpstr>
      <vt:lpstr>距離_柏_柏</vt:lpstr>
      <vt:lpstr>距離_柏_福岡</vt:lpstr>
      <vt:lpstr>距離_柏_名古屋</vt:lpstr>
      <vt:lpstr>距離_福岡_Ｃ大阪</vt:lpstr>
      <vt:lpstr>距離_福岡_FC東京</vt:lpstr>
      <vt:lpstr>距離_福岡_Ｇ大阪</vt:lpstr>
      <vt:lpstr>距離_福岡_浦和</vt:lpstr>
      <vt:lpstr>距離_福岡_横浜FC</vt:lpstr>
      <vt:lpstr>距離_福岡_横浜FM</vt:lpstr>
      <vt:lpstr>距離_福岡_岡山</vt:lpstr>
      <vt:lpstr>距離_福岡_京都</vt:lpstr>
      <vt:lpstr>距離_福岡_広島</vt:lpstr>
      <vt:lpstr>距離_福岡_鹿島</vt:lpstr>
      <vt:lpstr>距離_福岡_湘南</vt:lpstr>
      <vt:lpstr>距離_福岡_新潟</vt:lpstr>
      <vt:lpstr>距離_福岡_神戸</vt:lpstr>
      <vt:lpstr>距離_福岡_清水</vt:lpstr>
      <vt:lpstr>距離_福岡_川崎Ｆ</vt:lpstr>
      <vt:lpstr>距離_福岡_町田</vt:lpstr>
      <vt:lpstr>距離_福岡_東京Ｖ</vt:lpstr>
      <vt:lpstr>距離_福岡_柏</vt:lpstr>
      <vt:lpstr>距離_福岡_福岡</vt:lpstr>
      <vt:lpstr>距離_福岡_名古屋</vt:lpstr>
      <vt:lpstr>距離_名古屋_Ｃ大阪</vt:lpstr>
      <vt:lpstr>距離_名古屋_FC東京</vt:lpstr>
      <vt:lpstr>距離_名古屋_Ｇ大阪</vt:lpstr>
      <vt:lpstr>距離_名古屋_浦和</vt:lpstr>
      <vt:lpstr>距離_名古屋_横浜FC</vt:lpstr>
      <vt:lpstr>距離_名古屋_横浜FM</vt:lpstr>
      <vt:lpstr>距離_名古屋_岡山</vt:lpstr>
      <vt:lpstr>距離_名古屋_京都</vt:lpstr>
      <vt:lpstr>距離_名古屋_広島</vt:lpstr>
      <vt:lpstr>距離_名古屋_鹿島</vt:lpstr>
      <vt:lpstr>距離_名古屋_湘南</vt:lpstr>
      <vt:lpstr>距離_名古屋_新潟</vt:lpstr>
      <vt:lpstr>距離_名古屋_神戸</vt:lpstr>
      <vt:lpstr>距離_名古屋_清水</vt:lpstr>
      <vt:lpstr>距離_名古屋_川崎Ｆ</vt:lpstr>
      <vt:lpstr>距離_名古屋_町田</vt:lpstr>
      <vt:lpstr>距離_名古屋_東京Ｖ</vt:lpstr>
      <vt:lpstr>距離_名古屋_柏</vt:lpstr>
      <vt:lpstr>距離_名古屋_福岡</vt:lpstr>
      <vt:lpstr>距離_名古屋_名古屋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tomoki kawakubo</cp:lastModifiedBy>
  <dcterms:created xsi:type="dcterms:W3CDTF">2025-05-04T13:22:54Z</dcterms:created>
  <dcterms:modified xsi:type="dcterms:W3CDTF">2025-05-11T08:54:10Z</dcterms:modified>
</cp:coreProperties>
</file>