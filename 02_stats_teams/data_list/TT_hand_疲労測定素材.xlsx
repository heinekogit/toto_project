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_tomo/tt_prj/"/>
    </mc:Choice>
  </mc:AlternateContent>
  <xr:revisionPtr revIDLastSave="0" documentId="13_ncr:1_{EC259B67-A4B5-2243-B6EE-2FB3F654F237}" xr6:coauthVersionLast="47" xr6:coauthVersionMax="47" xr10:uidLastSave="{00000000-0000-0000-0000-000000000000}"/>
  <bookViews>
    <workbookView xWindow="840" yWindow="1360" windowWidth="19420" windowHeight="16760" activeTab="3" xr2:uid="{6643BD72-398D-8742-B6B2-0430956AC24A}"/>
  </bookViews>
  <sheets>
    <sheet name="カレンダー" sheetId="1" r:id="rId1"/>
    <sheet name="疲労計算ver01" sheetId="3" r:id="rId2"/>
    <sheet name="直線距離概算" sheetId="6" r:id="rId3"/>
    <sheet name="スタジアム所在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3" l="1"/>
  <c r="J7" i="3"/>
  <c r="J6" i="3"/>
  <c r="I7" i="3"/>
  <c r="I6" i="3"/>
  <c r="H7" i="3"/>
  <c r="H6" i="3"/>
  <c r="G7" i="3"/>
  <c r="G6" i="3"/>
</calcChain>
</file>

<file path=xl/sharedStrings.xml><?xml version="1.0" encoding="utf-8"?>
<sst xmlns="http://schemas.openxmlformats.org/spreadsheetml/2006/main" count="248" uniqueCount="131">
  <si>
    <t>土</t>
    <rPh sb="0" eb="1">
      <t>℃</t>
    </rPh>
    <phoneticPr fontId="1"/>
  </si>
  <si>
    <t>日</t>
  </si>
  <si>
    <t>月</t>
  </si>
  <si>
    <t>火</t>
  </si>
  <si>
    <t>水</t>
  </si>
  <si>
    <t>木</t>
  </si>
  <si>
    <t>金</t>
  </si>
  <si>
    <t>土</t>
  </si>
  <si>
    <t>柏</t>
    <rPh sb="0" eb="1">
      <t xml:space="preserve">カシワ </t>
    </rPh>
    <phoneticPr fontId="1"/>
  </si>
  <si>
    <t>新潟</t>
    <rPh sb="0" eb="2">
      <t xml:space="preserve">ニイガタ </t>
    </rPh>
    <phoneticPr fontId="1"/>
  </si>
  <si>
    <t>柏レイソル</t>
  </si>
  <si>
    <t>柏レイソル</t>
    <rPh sb="0" eb="1">
      <t xml:space="preserve">カシワ </t>
    </rPh>
    <phoneticPr fontId="1"/>
  </si>
  <si>
    <t>新潟アルビレックス</t>
    <rPh sb="0" eb="2">
      <t xml:space="preserve">ニイガタ </t>
    </rPh>
    <phoneticPr fontId="1"/>
  </si>
  <si>
    <t>京都</t>
    <rPh sb="0" eb="2">
      <t xml:space="preserve">キョウト </t>
    </rPh>
    <phoneticPr fontId="1"/>
  </si>
  <si>
    <t>スタジアム</t>
    <phoneticPr fontId="1"/>
  </si>
  <si>
    <t>開始時間</t>
    <rPh sb="0" eb="2">
      <t xml:space="preserve">カイシ </t>
    </rPh>
    <rPh sb="2" eb="4">
      <t xml:space="preserve">ジカン </t>
    </rPh>
    <phoneticPr fontId="1"/>
  </si>
  <si>
    <t>開始時間</t>
    <rPh sb="0" eb="2">
      <t xml:space="preserve">ジカン </t>
    </rPh>
    <phoneticPr fontId="1"/>
  </si>
  <si>
    <t>福島県福島市</t>
    <rPh sb="0" eb="3">
      <t xml:space="preserve">フクシマケン </t>
    </rPh>
    <rPh sb="3" eb="6">
      <t>フクシマｓ</t>
    </rPh>
    <phoneticPr fontId="1"/>
  </si>
  <si>
    <t>湘南</t>
    <rPh sb="0" eb="2">
      <t xml:space="preserve">ショウナン </t>
    </rPh>
    <phoneticPr fontId="1"/>
  </si>
  <si>
    <t>東京</t>
    <phoneticPr fontId="1"/>
  </si>
  <si>
    <t>松本</t>
    <rPh sb="0" eb="2">
      <t xml:space="preserve">マツモト </t>
    </rPh>
    <phoneticPr fontId="1"/>
  </si>
  <si>
    <t>ホーム</t>
    <phoneticPr fontId="1"/>
  </si>
  <si>
    <t>北海道コンサドーレ札幌</t>
  </si>
  <si>
    <t>ベガルタ仙台</t>
  </si>
  <si>
    <t>鹿島アントラーズ</t>
  </si>
  <si>
    <t>浦和レッズ</t>
  </si>
  <si>
    <t>FC東京</t>
  </si>
  <si>
    <t>東京ヴェルディ</t>
  </si>
  <si>
    <t>川崎フロンターレ</t>
  </si>
  <si>
    <t>横浜F・マリノス</t>
  </si>
  <si>
    <t>横浜FC</t>
  </si>
  <si>
    <t>湘南ベルマーレ</t>
  </si>
  <si>
    <t>アルビレックス新潟</t>
  </si>
  <si>
    <t>清水エスパルス</t>
  </si>
  <si>
    <t>ジュビロ磐田</t>
  </si>
  <si>
    <t>名古屋グランパス</t>
  </si>
  <si>
    <t>ガンバ大阪</t>
  </si>
  <si>
    <t>セレッソ大阪</t>
  </si>
  <si>
    <t>ヴィッセル神戸</t>
  </si>
  <si>
    <t>サンフレッチェ広島</t>
  </si>
  <si>
    <t>アビスパ福岡</t>
  </si>
  <si>
    <t>サガン鳥栖</t>
  </si>
  <si>
    <t>ブラウブリッツ秋田</t>
  </si>
  <si>
    <t>モンテディオ山形</t>
  </si>
  <si>
    <t>水戸ホーリーホック</t>
  </si>
  <si>
    <t>大宮アルディージャ</t>
  </si>
  <si>
    <t>ジェフユナイテッド千葉</t>
  </si>
  <si>
    <t>町田ゼルビア</t>
  </si>
  <si>
    <t>ヴァンフォーレ甲府</t>
  </si>
  <si>
    <t>ファジアーノ岡山</t>
  </si>
  <si>
    <t>レノファ山口FC</t>
  </si>
  <si>
    <t>徳島ヴォルティス</t>
  </si>
  <si>
    <t>愛媛FC</t>
  </si>
  <si>
    <t>V・ファーレン長崎</t>
  </si>
  <si>
    <t>ロアッソ熊本</t>
  </si>
  <si>
    <t>大分トリニータ</t>
  </si>
  <si>
    <t>京都サンガFC</t>
  </si>
  <si>
    <t>FC今治</t>
  </si>
  <si>
    <t>カターレ富山</t>
  </si>
  <si>
    <t>藤枝MYFC</t>
  </si>
  <si>
    <t>いわきFC</t>
  </si>
  <si>
    <t>東京・国立</t>
    <rPh sb="0" eb="2">
      <t xml:space="preserve">トウキョウ </t>
    </rPh>
    <rPh sb="3" eb="5">
      <t xml:space="preserve">コクリツ </t>
    </rPh>
    <phoneticPr fontId="1"/>
  </si>
  <si>
    <t>計算式</t>
    <rPh sb="0" eb="3">
      <t xml:space="preserve">ケイサンシキ </t>
    </rPh>
    <phoneticPr fontId="1"/>
  </si>
  <si>
    <t>前の三試合までを使う</t>
    <rPh sb="0" eb="1">
      <t xml:space="preserve">マエノ </t>
    </rPh>
    <rPh sb="2" eb="5">
      <t xml:space="preserve">サンシアイ </t>
    </rPh>
    <rPh sb="8" eb="9">
      <t xml:space="preserve">ツカウ </t>
    </rPh>
    <phoneticPr fontId="1"/>
  </si>
  <si>
    <t>当日までの空き日</t>
    <rPh sb="0" eb="2">
      <t xml:space="preserve">トウジツ </t>
    </rPh>
    <rPh sb="5" eb="6">
      <t xml:space="preserve">アキビ </t>
    </rPh>
    <phoneticPr fontId="1"/>
  </si>
  <si>
    <t>アウェイ</t>
    <phoneticPr fontId="1"/>
  </si>
  <si>
    <t>前試合</t>
    <rPh sb="0" eb="1">
      <t xml:space="preserve">ゼン </t>
    </rPh>
    <rPh sb="1" eb="3">
      <t xml:space="preserve">シアイ </t>
    </rPh>
    <phoneticPr fontId="1"/>
  </si>
  <si>
    <t>前々試合</t>
    <rPh sb="0" eb="1">
      <t xml:space="preserve">ゼンゼン </t>
    </rPh>
    <rPh sb="2" eb="4">
      <t xml:space="preserve">シアイ </t>
    </rPh>
    <phoneticPr fontId="1"/>
  </si>
  <si>
    <t>前々々試合</t>
    <rPh sb="0" eb="1">
      <t xml:space="preserve">ゼンゼンゼン </t>
    </rPh>
    <rPh sb="3" eb="5">
      <t xml:space="preserve">シアイ </t>
    </rPh>
    <phoneticPr fontId="1"/>
  </si>
  <si>
    <t>アウェイ試合数</t>
    <rPh sb="4" eb="6">
      <t xml:space="preserve">シアイ </t>
    </rPh>
    <rPh sb="6" eb="7">
      <t xml:space="preserve">スウ </t>
    </rPh>
    <phoneticPr fontId="1"/>
  </si>
  <si>
    <t>チーム</t>
    <phoneticPr fontId="1"/>
  </si>
  <si>
    <t>疲労スコア = (固定値18 − 空き日数の合計) + (アウェイ試合数 × 2)</t>
    <phoneticPr fontId="1"/>
  </si>
  <si>
    <t>直近3試合の間隔日数とアウェイ回数を元に、</t>
    <rPh sb="15" eb="17">
      <t xml:space="preserve">カイスウ </t>
    </rPh>
    <rPh sb="18" eb="19">
      <t xml:space="preserve">モトニ </t>
    </rPh>
    <phoneticPr fontId="1"/>
  </si>
  <si>
    <t>※　18は間隔6日×3</t>
    <rPh sb="5" eb="7">
      <t xml:space="preserve">カンカク </t>
    </rPh>
    <rPh sb="8" eb="9">
      <t xml:space="preserve">カ </t>
    </rPh>
    <phoneticPr fontId="1"/>
  </si>
  <si>
    <t>間隔計</t>
    <rPh sb="0" eb="2">
      <t xml:space="preserve">カンカク </t>
    </rPh>
    <rPh sb="2" eb="3">
      <t xml:space="preserve">ケイ </t>
    </rPh>
    <phoneticPr fontId="1"/>
  </si>
  <si>
    <t>通常と差</t>
    <rPh sb="0" eb="2">
      <t xml:space="preserve">ツウジョウ </t>
    </rPh>
    <rPh sb="3" eb="4">
      <t xml:space="preserve">サ </t>
    </rPh>
    <phoneticPr fontId="1"/>
  </si>
  <si>
    <t>アウェイスコア</t>
    <phoneticPr fontId="1"/>
  </si>
  <si>
    <t>計疲労スコア</t>
    <rPh sb="0" eb="1">
      <t xml:space="preserve">ケイ </t>
    </rPh>
    <rPh sb="1" eb="3">
      <t xml:space="preserve">ヒロウ </t>
    </rPh>
    <phoneticPr fontId="1"/>
  </si>
  <si>
    <t>保留</t>
    <rPh sb="0" eb="2">
      <t xml:space="preserve">ホリュウ </t>
    </rPh>
    <phoneticPr fontId="1"/>
  </si>
  <si>
    <t>中２日（３？）補正</t>
    <rPh sb="0" eb="1">
      <t xml:space="preserve">ナカ </t>
    </rPh>
    <rPh sb="2" eb="3">
      <t xml:space="preserve">ニチ </t>
    </rPh>
    <rPh sb="7" eb="9">
      <t xml:space="preserve">ホセイ </t>
    </rPh>
    <phoneticPr fontId="1"/>
  </si>
  <si>
    <t>ターンオーバー可能性</t>
    <rPh sb="7" eb="10">
      <t xml:space="preserve">カノウセイ </t>
    </rPh>
    <phoneticPr fontId="1"/>
  </si>
  <si>
    <t>移動距離</t>
    <rPh sb="0" eb="4">
      <t xml:space="preserve">イドウキョリ </t>
    </rPh>
    <phoneticPr fontId="1"/>
  </si>
  <si>
    <t>移動方法</t>
    <rPh sb="0" eb="1">
      <t xml:space="preserve">イドウ </t>
    </rPh>
    <rPh sb="2" eb="4">
      <t xml:space="preserve">ホウホウ </t>
    </rPh>
    <phoneticPr fontId="1"/>
  </si>
  <si>
    <t>宿泊・移動スケジュール</t>
    <rPh sb="0" eb="2">
      <t xml:space="preserve">シュクハク </t>
    </rPh>
    <rPh sb="3" eb="5">
      <t xml:space="preserve">イドウ </t>
    </rPh>
    <phoneticPr fontId="1"/>
  </si>
  <si>
    <t>＜疲労計算ver01＞</t>
    <rPh sb="1" eb="3">
      <t xml:space="preserve">ヒロウ </t>
    </rPh>
    <rPh sb="3" eb="5">
      <t xml:space="preserve">ケイサン </t>
    </rPh>
    <phoneticPr fontId="1"/>
  </si>
  <si>
    <t>＜疲労計算ver02＞</t>
    <rPh sb="1" eb="3">
      <t xml:space="preserve">ヒロウ </t>
    </rPh>
    <rPh sb="3" eb="5">
      <t xml:space="preserve">ケイサン </t>
    </rPh>
    <phoneticPr fontId="1"/>
  </si>
  <si>
    <t>DATEDIF使用</t>
    <rPh sb="7" eb="9">
      <t xml:space="preserve">シヨウ </t>
    </rPh>
    <phoneticPr fontId="1"/>
  </si>
  <si>
    <t>京都サンガF.C.</t>
  </si>
  <si>
    <t>佐賀県鳥栖市</t>
  </si>
  <si>
    <t>駅前不動産スタジアム</t>
  </si>
  <si>
    <t>福岡県福岡市博多区</t>
  </si>
  <si>
    <t>ベスト電器スタジアム</t>
  </si>
  <si>
    <t>広島県広島市中区</t>
  </si>
  <si>
    <t>エディオンピースウイング広島</t>
  </si>
  <si>
    <t>兵庫県神戸市兵庫区</t>
  </si>
  <si>
    <t>ノエビアスタジアム神戸</t>
  </si>
  <si>
    <t>大阪府大阪市東住吉区</t>
  </si>
  <si>
    <t>ヨドコウ桜スタジアム</t>
  </si>
  <si>
    <t>大阪府吹田市</t>
  </si>
  <si>
    <t>パナソニックスタジアム吹田</t>
  </si>
  <si>
    <t>京都府亀岡市</t>
  </si>
  <si>
    <t>サンガスタジアム by KYOCERA</t>
  </si>
  <si>
    <t>愛知県豊田市</t>
  </si>
  <si>
    <t>豊田スタジアム</t>
  </si>
  <si>
    <t>新潟県新潟市中央区</t>
  </si>
  <si>
    <t>デンカビッグスワンスタジアム</t>
  </si>
  <si>
    <t>神奈川県平塚市</t>
  </si>
  <si>
    <t>レモンガススタジアム平塚</t>
  </si>
  <si>
    <t>神奈川県横浜市港北区</t>
  </si>
  <si>
    <t>日産スタジアム</t>
  </si>
  <si>
    <t>神奈川県川崎市中原区</t>
  </si>
  <si>
    <t>等々力陸上競技場</t>
  </si>
  <si>
    <t>東京都調布市</t>
  </si>
  <si>
    <t>味の素スタジアム</t>
  </si>
  <si>
    <t>千葉県柏市</t>
  </si>
  <si>
    <t>三協フロンテア柏スタジアム</t>
  </si>
  <si>
    <t>埼玉県さいたま市大宮区</t>
  </si>
  <si>
    <t>NACK5スタジアム大宮</t>
  </si>
  <si>
    <t>大宮アルディージャ（昇格想定）</t>
  </si>
  <si>
    <t>埼玉県さいたま市緑区</t>
  </si>
  <si>
    <t>埼玉スタジアム2002</t>
  </si>
  <si>
    <t>茨城県鹿嶋市</t>
  </si>
  <si>
    <t>県立カシマサッカースタジアム</t>
  </si>
  <si>
    <t>宮城県仙台市</t>
  </si>
  <si>
    <t>ユアテックスタジアム仙台</t>
  </si>
  <si>
    <t>ベガルタ仙台（昇格想定）</t>
  </si>
  <si>
    <t>北海道札幌市</t>
  </si>
  <si>
    <t>札幌ドーム</t>
  </si>
  <si>
    <t>所在地（都市）</t>
  </si>
  <si>
    <t>ホームスタジアム</t>
  </si>
  <si>
    <t>クラブ名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</si>
</sst>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  <font>
      <sz val="12"/>
      <color rgb="FFFF0000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53">
    <xf numFmtId="0" fontId="0" fillId="0" borderId="0" xfId="0">
      <alignment vertical="center"/>
    </xf>
    <xf numFmtId="0" fontId="0" fillId="3" borderId="1" xfId="0" applyFill="1" applyBorder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4" borderId="0" xfId="0" applyFill="1" applyAlignment="1">
      <alignment horizontal="center" vertical="center"/>
    </xf>
    <xf numFmtId="0" fontId="0" fillId="0" borderId="2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0" xfId="0" applyFont="1">
      <alignment vertical="center"/>
    </xf>
    <xf numFmtId="0" fontId="0" fillId="6" borderId="3" xfId="0" applyFill="1" applyBorder="1" applyAlignment="1">
      <alignment horizontal="center" vertical="center"/>
    </xf>
    <xf numFmtId="0" fontId="2" fillId="5" borderId="0" xfId="0" applyFont="1" applyFill="1">
      <alignment vertical="center"/>
    </xf>
    <xf numFmtId="0" fontId="0" fillId="5" borderId="0" xfId="0" applyFill="1">
      <alignment vertical="center"/>
    </xf>
    <xf numFmtId="0" fontId="3" fillId="5" borderId="0" xfId="0" applyFont="1" applyFill="1">
      <alignment vertical="center"/>
    </xf>
    <xf numFmtId="0" fontId="0" fillId="5" borderId="2" xfId="0" applyFill="1" applyBorder="1">
      <alignment vertical="center"/>
    </xf>
    <xf numFmtId="0" fontId="4" fillId="0" borderId="0" xfId="0" applyFont="1">
      <alignment vertical="center"/>
    </xf>
    <xf numFmtId="0" fontId="0" fillId="7" borderId="2" xfId="0" applyFill="1" applyBorder="1">
      <alignment vertical="center"/>
    </xf>
    <xf numFmtId="0" fontId="0" fillId="8" borderId="2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left" vertical="center"/>
    </xf>
    <xf numFmtId="0" fontId="0" fillId="10" borderId="2" xfId="0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5" borderId="5" xfId="0" applyFill="1" applyBorder="1">
      <alignment vertical="center"/>
    </xf>
    <xf numFmtId="0" fontId="0" fillId="0" borderId="0" xfId="0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5" borderId="3" xfId="0" applyFill="1" applyBorder="1" applyAlignment="1">
      <alignment horizontal="left" vertical="center"/>
    </xf>
    <xf numFmtId="0" fontId="0" fillId="5" borderId="4" xfId="0" applyFill="1" applyBorder="1" applyAlignment="1">
      <alignment horizontal="left" vertical="center"/>
    </xf>
    <xf numFmtId="0" fontId="0" fillId="6" borderId="3" xfId="0" applyFill="1" applyBorder="1" applyAlignment="1">
      <alignment horizontal="left" vertical="center"/>
    </xf>
    <xf numFmtId="0" fontId="0" fillId="6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11" borderId="6" xfId="0" applyFill="1" applyBorder="1" applyAlignment="1">
      <alignment horizontal="left" vertical="center"/>
    </xf>
    <xf numFmtId="0" fontId="0" fillId="11" borderId="7" xfId="0" applyFill="1" applyBorder="1" applyAlignment="1">
      <alignment horizontal="left" vertical="center"/>
    </xf>
    <xf numFmtId="0" fontId="0" fillId="11" borderId="3" xfId="0" applyFill="1" applyBorder="1" applyAlignment="1">
      <alignment horizontal="left" vertical="center"/>
    </xf>
    <xf numFmtId="0" fontId="0" fillId="11" borderId="4" xfId="0" applyFill="1" applyBorder="1" applyAlignment="1">
      <alignment horizontal="left" vertical="center"/>
    </xf>
    <xf numFmtId="0" fontId="5" fillId="0" borderId="0" xfId="1"/>
    <xf numFmtId="0" fontId="5" fillId="0" borderId="0" xfId="1" applyAlignment="1">
      <alignment horizontal="right"/>
    </xf>
    <xf numFmtId="0" fontId="6" fillId="0" borderId="2" xfId="1" applyFont="1" applyBorder="1" applyAlignment="1">
      <alignment horizontal="right" vertical="top"/>
    </xf>
    <xf numFmtId="0" fontId="6" fillId="0" borderId="0" xfId="1" applyFont="1" applyAlignment="1">
      <alignment horizontal="left" wrapText="1"/>
    </xf>
    <xf numFmtId="0" fontId="6" fillId="0" borderId="2" xfId="1" applyFont="1" applyBorder="1" applyAlignment="1">
      <alignment horizontal="left" vertical="top" wrapText="1"/>
    </xf>
    <xf numFmtId="0" fontId="7" fillId="0" borderId="0" xfId="1" applyFont="1"/>
  </cellXfs>
  <cellStyles count="2">
    <cellStyle name="標準" xfId="0" builtinId="0"/>
    <cellStyle name="標準 2" xfId="1" xr:uid="{D5BD5BCC-EB28-9847-B84B-6317C19CFA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52986-DBDC-7E4F-981B-7E2E2301814C}">
  <sheetPr>
    <tabColor rgb="FFFFC000"/>
  </sheetPr>
  <dimension ref="A1:CI67"/>
  <sheetViews>
    <sheetView workbookViewId="0">
      <pane xSplit="3" ySplit="2" topLeftCell="D17" activePane="bottomRight" state="frozen"/>
      <selection pane="topRight" activeCell="D1" sqref="D1"/>
      <selection pane="bottomLeft" activeCell="A3" sqref="A3"/>
      <selection pane="bottomRight" activeCell="AO14" sqref="AO14"/>
    </sheetView>
  </sheetViews>
  <sheetFormatPr baseColWidth="10" defaultRowHeight="20"/>
  <cols>
    <col min="1" max="1" width="3.5703125" customWidth="1"/>
    <col min="2" max="3" width="3.7109375" customWidth="1"/>
    <col min="4" max="4" width="12.85546875" customWidth="1"/>
    <col min="5" max="5" width="7.28515625" customWidth="1"/>
    <col min="6" max="6" width="14" customWidth="1"/>
    <col min="7" max="7" width="7.28515625" customWidth="1"/>
    <col min="8" max="8" width="9.140625" style="25" customWidth="1"/>
    <col min="9" max="9" width="5.5703125" style="6" customWidth="1"/>
    <col min="10" max="10" width="10.7109375" style="6"/>
    <col min="11" max="11" width="5.140625" style="6" customWidth="1"/>
    <col min="12" max="12" width="10.7109375" style="6"/>
    <col min="13" max="13" width="5.28515625" style="6" customWidth="1"/>
    <col min="14" max="14" width="10.7109375" style="6"/>
    <col min="15" max="15" width="5.28515625" style="6" customWidth="1"/>
    <col min="16" max="16" width="8.7109375" style="6" customWidth="1"/>
    <col min="17" max="17" width="5" style="6" customWidth="1"/>
    <col min="18" max="18" width="9.28515625" style="6" customWidth="1"/>
    <col min="19" max="19" width="5" style="6" customWidth="1"/>
    <col min="20" max="20" width="8.7109375" style="6" customWidth="1"/>
    <col min="21" max="21" width="5" style="6" customWidth="1"/>
    <col min="22" max="22" width="9.85546875" style="6" customWidth="1"/>
    <col min="23" max="23" width="5" style="6" customWidth="1"/>
    <col min="24" max="24" width="9.7109375" style="6" customWidth="1"/>
    <col min="25" max="25" width="5" style="6" customWidth="1"/>
    <col min="26" max="26" width="9.85546875" style="6" customWidth="1"/>
    <col min="27" max="27" width="5" style="6" customWidth="1"/>
    <col min="28" max="28" width="9.85546875" style="6" customWidth="1"/>
    <col min="29" max="29" width="5" style="6" customWidth="1"/>
    <col min="30" max="30" width="9.85546875" style="6" customWidth="1"/>
    <col min="31" max="31" width="5" style="6" customWidth="1"/>
    <col min="32" max="32" width="10" style="6" customWidth="1"/>
    <col min="33" max="33" width="5" style="6" customWidth="1"/>
    <col min="34" max="34" width="10.42578125" style="6" customWidth="1"/>
    <col min="35" max="35" width="5" style="6" customWidth="1"/>
    <col min="36" max="36" width="9.7109375" style="6" customWidth="1"/>
    <col min="37" max="37" width="4.85546875" style="6" customWidth="1"/>
    <col min="38" max="38" width="9.5703125" style="6" customWidth="1"/>
    <col min="39" max="39" width="5.28515625" style="6" customWidth="1"/>
    <col min="40" max="40" width="10" style="6" customWidth="1"/>
    <col min="41" max="41" width="5" style="6" customWidth="1"/>
    <col min="42" max="42" width="10" style="6" customWidth="1"/>
    <col min="43" max="43" width="5" style="6" customWidth="1"/>
    <col min="44" max="44" width="9.85546875" style="6" customWidth="1"/>
    <col min="45" max="45" width="5" style="6" customWidth="1"/>
    <col min="46" max="46" width="10" style="6" customWidth="1"/>
    <col min="47" max="47" width="5" style="6" customWidth="1"/>
    <col min="48" max="48" width="10" style="6" customWidth="1"/>
    <col min="49" max="49" width="5" style="6" customWidth="1"/>
    <col min="50" max="50" width="9.7109375" style="6" customWidth="1"/>
    <col min="51" max="51" width="4.7109375" style="6" customWidth="1"/>
    <col min="52" max="52" width="9.28515625" style="6" customWidth="1"/>
    <col min="53" max="53" width="4.7109375" style="6" customWidth="1"/>
    <col min="54" max="54" width="9.42578125" style="6" customWidth="1"/>
    <col min="55" max="55" width="4.7109375" style="6" customWidth="1"/>
    <col min="56" max="56" width="9.28515625" style="6" customWidth="1"/>
    <col min="57" max="57" width="4.7109375" style="6" customWidth="1"/>
    <col min="58" max="58" width="9.28515625" style="6" customWidth="1"/>
    <col min="59" max="59" width="4.7109375" style="6" customWidth="1"/>
    <col min="60" max="60" width="9.28515625" style="6" customWidth="1"/>
    <col min="61" max="61" width="4.7109375" style="6" customWidth="1"/>
    <col min="62" max="62" width="9.5703125" style="6" customWidth="1"/>
    <col min="63" max="63" width="4.7109375" style="6" customWidth="1"/>
    <col min="64" max="64" width="9.5703125" style="6" customWidth="1"/>
    <col min="65" max="65" width="4.7109375" style="6" customWidth="1"/>
    <col min="66" max="66" width="9.85546875" style="6" customWidth="1"/>
    <col min="67" max="67" width="4.7109375" style="6" customWidth="1"/>
    <col min="68" max="68" width="9.85546875" style="6" customWidth="1"/>
    <col min="69" max="69" width="4.7109375" style="6" customWidth="1"/>
    <col min="70" max="70" width="9.7109375" style="6" customWidth="1"/>
    <col min="71" max="71" width="4.7109375" style="6" customWidth="1"/>
    <col min="72" max="72" width="10.140625" style="6" customWidth="1"/>
    <col min="73" max="73" width="4.7109375" style="6" customWidth="1"/>
    <col min="74" max="74" width="9.85546875" style="6" customWidth="1"/>
    <col min="75" max="75" width="4.7109375" style="6" customWidth="1"/>
    <col min="76" max="76" width="9.28515625" style="6" customWidth="1"/>
    <col min="77" max="77" width="4.7109375" style="6" customWidth="1"/>
    <col min="78" max="78" width="10.28515625" style="6" customWidth="1"/>
    <col min="79" max="79" width="4.7109375" style="6" customWidth="1"/>
    <col min="80" max="80" width="9.7109375" style="6" customWidth="1"/>
    <col min="81" max="81" width="4.7109375" style="6" customWidth="1"/>
    <col min="82" max="82" width="10.5703125" style="6" customWidth="1"/>
    <col min="83" max="83" width="4.7109375" style="6" customWidth="1"/>
    <col min="84" max="84" width="9" style="6" customWidth="1"/>
    <col min="85" max="85" width="4.7109375" style="6" customWidth="1"/>
    <col min="86" max="86" width="8" style="6" customWidth="1"/>
    <col min="87" max="87" width="5.28515625" style="6" customWidth="1"/>
  </cols>
  <sheetData>
    <row r="1" spans="1:87" s="28" customFormat="1">
      <c r="D1" s="33" t="s">
        <v>11</v>
      </c>
      <c r="E1" s="34"/>
      <c r="F1" s="35" t="s">
        <v>12</v>
      </c>
      <c r="G1" s="36"/>
      <c r="H1" s="39" t="s">
        <v>24</v>
      </c>
      <c r="I1" s="38"/>
      <c r="J1" s="37" t="s">
        <v>25</v>
      </c>
      <c r="K1" s="38"/>
      <c r="L1" s="37" t="s">
        <v>10</v>
      </c>
      <c r="M1" s="38"/>
      <c r="N1" s="40" t="s">
        <v>26</v>
      </c>
      <c r="O1" s="41"/>
      <c r="P1" s="37" t="s">
        <v>27</v>
      </c>
      <c r="Q1" s="38"/>
      <c r="R1" s="37" t="s">
        <v>28</v>
      </c>
      <c r="S1" s="38"/>
      <c r="T1" s="37" t="s">
        <v>29</v>
      </c>
      <c r="U1" s="38"/>
      <c r="V1" s="37" t="s">
        <v>30</v>
      </c>
      <c r="W1" s="38"/>
      <c r="X1" s="37" t="s">
        <v>31</v>
      </c>
      <c r="Y1" s="38"/>
      <c r="Z1" s="29" t="s">
        <v>32</v>
      </c>
      <c r="AA1" s="30"/>
      <c r="AB1" s="37" t="s">
        <v>33</v>
      </c>
      <c r="AC1" s="38"/>
      <c r="AD1" s="37" t="s">
        <v>35</v>
      </c>
      <c r="AE1" s="38"/>
      <c r="AF1" s="29" t="s">
        <v>56</v>
      </c>
      <c r="AG1" s="30"/>
      <c r="AH1" s="37" t="s">
        <v>36</v>
      </c>
      <c r="AI1" s="38"/>
      <c r="AJ1" s="42" t="s">
        <v>37</v>
      </c>
      <c r="AK1" s="42"/>
      <c r="AL1" s="42" t="s">
        <v>38</v>
      </c>
      <c r="AM1" s="42"/>
      <c r="AN1" s="37" t="s">
        <v>39</v>
      </c>
      <c r="AO1" s="38"/>
      <c r="AP1" s="37" t="s">
        <v>40</v>
      </c>
      <c r="AQ1" s="38"/>
      <c r="AR1" s="37" t="s">
        <v>47</v>
      </c>
      <c r="AS1" s="38"/>
      <c r="AT1" s="37" t="s">
        <v>49</v>
      </c>
      <c r="AU1" s="38"/>
      <c r="AV1" s="43" t="s">
        <v>46</v>
      </c>
      <c r="AW1" s="44"/>
      <c r="AX1" s="45" t="s">
        <v>45</v>
      </c>
      <c r="AY1" s="46"/>
      <c r="AZ1" s="45" t="s">
        <v>23</v>
      </c>
      <c r="BA1" s="46"/>
      <c r="BB1" s="45" t="s">
        <v>57</v>
      </c>
      <c r="BC1" s="46"/>
      <c r="BD1" s="45" t="s">
        <v>34</v>
      </c>
      <c r="BE1" s="46"/>
      <c r="BF1" s="45" t="s">
        <v>44</v>
      </c>
      <c r="BG1" s="46"/>
      <c r="BH1" s="45" t="s">
        <v>53</v>
      </c>
      <c r="BI1" s="46"/>
      <c r="BJ1" s="45" t="s">
        <v>41</v>
      </c>
      <c r="BK1" s="46"/>
      <c r="BL1" s="45" t="s">
        <v>51</v>
      </c>
      <c r="BM1" s="46"/>
      <c r="BN1" s="45" t="s">
        <v>43</v>
      </c>
      <c r="BO1" s="46"/>
      <c r="BP1" s="45" t="s">
        <v>58</v>
      </c>
      <c r="BQ1" s="46"/>
      <c r="BR1" s="45" t="s">
        <v>55</v>
      </c>
      <c r="BS1" s="46"/>
      <c r="BT1" s="45" t="s">
        <v>59</v>
      </c>
      <c r="BU1" s="46"/>
      <c r="BV1" s="45" t="s">
        <v>54</v>
      </c>
      <c r="BW1" s="46"/>
      <c r="BX1" s="45" t="s">
        <v>48</v>
      </c>
      <c r="BY1" s="46"/>
      <c r="BZ1" s="45" t="s">
        <v>42</v>
      </c>
      <c r="CA1" s="46"/>
      <c r="CB1" s="45" t="s">
        <v>22</v>
      </c>
      <c r="CC1" s="46"/>
      <c r="CD1" s="45" t="s">
        <v>50</v>
      </c>
      <c r="CE1" s="46"/>
      <c r="CF1" s="45" t="s">
        <v>52</v>
      </c>
      <c r="CG1" s="46"/>
      <c r="CH1" s="45" t="s">
        <v>60</v>
      </c>
      <c r="CI1" s="46"/>
    </row>
    <row r="2" spans="1:87" s="7" customFormat="1" ht="21" thickBot="1">
      <c r="D2" s="9" t="s">
        <v>14</v>
      </c>
      <c r="E2" s="9" t="s">
        <v>15</v>
      </c>
      <c r="F2" s="10" t="s">
        <v>14</v>
      </c>
      <c r="G2" s="14" t="s">
        <v>16</v>
      </c>
      <c r="H2" s="26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</row>
    <row r="3" spans="1:87" ht="21" thickTop="1">
      <c r="A3" s="31">
        <v>4</v>
      </c>
      <c r="B3" s="12">
        <v>1</v>
      </c>
    </row>
    <row r="4" spans="1:87">
      <c r="A4" s="32"/>
      <c r="B4" s="11">
        <v>2</v>
      </c>
      <c r="D4" t="s">
        <v>13</v>
      </c>
      <c r="E4">
        <v>19</v>
      </c>
      <c r="F4" t="s">
        <v>9</v>
      </c>
      <c r="G4">
        <v>19</v>
      </c>
    </row>
    <row r="5" spans="1:87">
      <c r="A5" s="32"/>
      <c r="B5" s="11">
        <v>3</v>
      </c>
    </row>
    <row r="6" spans="1:87" ht="21" thickBot="1">
      <c r="A6" s="32"/>
      <c r="B6" s="11">
        <v>4</v>
      </c>
    </row>
    <row r="7" spans="1:87" ht="21" thickTop="1">
      <c r="A7" s="32"/>
      <c r="B7" s="11">
        <v>5</v>
      </c>
      <c r="C7" s="1" t="s">
        <v>0</v>
      </c>
    </row>
    <row r="8" spans="1:87">
      <c r="A8" s="32"/>
      <c r="B8" s="11">
        <v>6</v>
      </c>
      <c r="C8" s="3" t="s">
        <v>1</v>
      </c>
      <c r="D8" s="13" t="s">
        <v>21</v>
      </c>
      <c r="E8">
        <v>15</v>
      </c>
      <c r="F8" t="s">
        <v>19</v>
      </c>
      <c r="G8">
        <v>14</v>
      </c>
    </row>
    <row r="9" spans="1:87">
      <c r="A9" s="32"/>
      <c r="B9" s="11">
        <v>7</v>
      </c>
      <c r="C9" t="s">
        <v>2</v>
      </c>
    </row>
    <row r="10" spans="1:87">
      <c r="A10" s="32"/>
      <c r="B10" s="11">
        <v>8</v>
      </c>
      <c r="C10" t="s">
        <v>3</v>
      </c>
    </row>
    <row r="11" spans="1:87">
      <c r="A11" s="32"/>
      <c r="B11" s="11">
        <v>9</v>
      </c>
      <c r="C11" t="s">
        <v>4</v>
      </c>
      <c r="F11" t="s">
        <v>20</v>
      </c>
      <c r="G11">
        <v>19</v>
      </c>
    </row>
    <row r="12" spans="1:87">
      <c r="A12" s="32"/>
      <c r="B12" s="11">
        <v>10</v>
      </c>
      <c r="C12" t="s">
        <v>5</v>
      </c>
    </row>
    <row r="13" spans="1:87">
      <c r="A13" s="32"/>
      <c r="B13" s="11">
        <v>11</v>
      </c>
      <c r="C13" t="s">
        <v>6</v>
      </c>
      <c r="D13" t="s">
        <v>61</v>
      </c>
      <c r="E13">
        <v>19</v>
      </c>
    </row>
    <row r="14" spans="1:87">
      <c r="A14" s="32"/>
      <c r="B14" s="11">
        <v>12</v>
      </c>
      <c r="C14" s="3" t="s">
        <v>7</v>
      </c>
    </row>
    <row r="15" spans="1:87">
      <c r="A15" s="32"/>
      <c r="B15" s="11">
        <v>13</v>
      </c>
      <c r="C15" s="3" t="s">
        <v>1</v>
      </c>
      <c r="F15" s="13" t="s">
        <v>21</v>
      </c>
      <c r="G15">
        <v>14</v>
      </c>
    </row>
    <row r="16" spans="1:87">
      <c r="A16" s="32"/>
      <c r="B16" s="11">
        <v>14</v>
      </c>
      <c r="C16" t="s">
        <v>2</v>
      </c>
    </row>
    <row r="17" spans="1:87">
      <c r="A17" s="32"/>
      <c r="B17" s="11">
        <v>15</v>
      </c>
      <c r="C17" t="s">
        <v>3</v>
      </c>
    </row>
    <row r="18" spans="1:87">
      <c r="A18" s="32"/>
      <c r="B18" s="11">
        <v>16</v>
      </c>
      <c r="C18" t="s">
        <v>4</v>
      </c>
      <c r="D18" t="s">
        <v>17</v>
      </c>
      <c r="E18">
        <v>19</v>
      </c>
      <c r="F18">
        <v>5</v>
      </c>
    </row>
    <row r="19" spans="1:87">
      <c r="A19" s="32"/>
      <c r="B19" s="11">
        <v>17</v>
      </c>
      <c r="C19" t="s">
        <v>5</v>
      </c>
    </row>
    <row r="20" spans="1:87">
      <c r="A20" s="32"/>
      <c r="B20" s="11">
        <v>18</v>
      </c>
      <c r="C20" t="s">
        <v>6</v>
      </c>
      <c r="D20">
        <v>3</v>
      </c>
    </row>
    <row r="21" spans="1:87">
      <c r="A21" s="32"/>
      <c r="B21" s="11">
        <v>19</v>
      </c>
      <c r="C21" s="3" t="s">
        <v>7</v>
      </c>
      <c r="F21" s="13" t="s">
        <v>21</v>
      </c>
      <c r="G21">
        <v>14</v>
      </c>
    </row>
    <row r="22" spans="1:87">
      <c r="A22" s="32"/>
      <c r="B22" s="11">
        <v>20</v>
      </c>
      <c r="C22" s="3" t="s">
        <v>1</v>
      </c>
      <c r="D22" t="s">
        <v>18</v>
      </c>
      <c r="E22">
        <v>15</v>
      </c>
    </row>
    <row r="23" spans="1:87">
      <c r="A23" s="32"/>
      <c r="B23" s="11">
        <v>21</v>
      </c>
      <c r="C23" t="s">
        <v>2</v>
      </c>
    </row>
    <row r="24" spans="1:87">
      <c r="A24" s="32"/>
      <c r="B24" s="11">
        <v>22</v>
      </c>
      <c r="C24" t="s">
        <v>3</v>
      </c>
    </row>
    <row r="25" spans="1:87">
      <c r="A25" s="32"/>
      <c r="B25" s="11">
        <v>23</v>
      </c>
      <c r="C25" t="s">
        <v>4</v>
      </c>
      <c r="D25">
        <v>5</v>
      </c>
      <c r="F25">
        <v>6</v>
      </c>
    </row>
    <row r="26" spans="1:87">
      <c r="A26" s="32"/>
      <c r="B26" s="11">
        <v>24</v>
      </c>
      <c r="C26" t="s">
        <v>5</v>
      </c>
    </row>
    <row r="27" spans="1:87">
      <c r="A27" s="32"/>
      <c r="B27" s="11">
        <v>25</v>
      </c>
      <c r="C27" t="s">
        <v>6</v>
      </c>
    </row>
    <row r="28" spans="1:87" s="16" customFormat="1">
      <c r="A28" s="32"/>
      <c r="B28" s="15">
        <v>26</v>
      </c>
      <c r="C28" s="16" t="s">
        <v>7</v>
      </c>
      <c r="D28" s="17" t="s">
        <v>21</v>
      </c>
      <c r="E28" s="16">
        <v>14</v>
      </c>
      <c r="F28" s="16" t="s">
        <v>8</v>
      </c>
      <c r="G28" s="16">
        <v>14</v>
      </c>
      <c r="H28" s="27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</row>
    <row r="29" spans="1:87">
      <c r="A29" s="32"/>
      <c r="B29" s="11">
        <v>27</v>
      </c>
      <c r="C29" s="3" t="s">
        <v>1</v>
      </c>
    </row>
    <row r="30" spans="1:87">
      <c r="A30" s="32"/>
      <c r="B30" s="11">
        <v>28</v>
      </c>
      <c r="C30" t="s">
        <v>2</v>
      </c>
    </row>
    <row r="31" spans="1:87">
      <c r="A31" s="2"/>
      <c r="B31" s="11">
        <v>29</v>
      </c>
      <c r="C31" t="s">
        <v>3</v>
      </c>
    </row>
    <row r="32" spans="1:87">
      <c r="A32" s="2"/>
      <c r="B32" s="11">
        <v>30</v>
      </c>
      <c r="C32" t="s">
        <v>4</v>
      </c>
    </row>
    <row r="33" spans="1:6">
      <c r="A33" s="4"/>
      <c r="B33" s="11">
        <v>1</v>
      </c>
      <c r="C33" t="s">
        <v>5</v>
      </c>
    </row>
    <row r="34" spans="1:6">
      <c r="A34" s="4"/>
      <c r="B34" s="11">
        <v>2</v>
      </c>
      <c r="C34" t="s">
        <v>6</v>
      </c>
      <c r="D34" t="s">
        <v>62</v>
      </c>
    </row>
    <row r="35" spans="1:6">
      <c r="A35" s="5">
        <v>5</v>
      </c>
      <c r="B35" s="11">
        <v>3</v>
      </c>
      <c r="D35" t="s">
        <v>63</v>
      </c>
    </row>
    <row r="36" spans="1:6">
      <c r="A36" s="4"/>
      <c r="B36" s="11">
        <v>4</v>
      </c>
      <c r="D36" t="s">
        <v>64</v>
      </c>
      <c r="E36">
        <v>5</v>
      </c>
      <c r="F36">
        <v>6</v>
      </c>
    </row>
    <row r="37" spans="1:6">
      <c r="A37" s="4"/>
      <c r="B37" s="11">
        <v>5</v>
      </c>
      <c r="C37" s="3" t="s">
        <v>7</v>
      </c>
      <c r="E37">
        <v>3</v>
      </c>
      <c r="F37">
        <v>5</v>
      </c>
    </row>
    <row r="38" spans="1:6">
      <c r="A38" s="4"/>
      <c r="B38" s="11">
        <v>6</v>
      </c>
      <c r="C38" s="3" t="s">
        <v>1</v>
      </c>
      <c r="E38">
        <v>4</v>
      </c>
      <c r="F38">
        <v>3</v>
      </c>
    </row>
    <row r="39" spans="1:6">
      <c r="A39" s="4"/>
      <c r="B39" s="11">
        <v>7</v>
      </c>
      <c r="C39" t="s">
        <v>2</v>
      </c>
      <c r="D39" t="s">
        <v>62</v>
      </c>
      <c r="E39">
        <v>12</v>
      </c>
      <c r="F39">
        <v>14</v>
      </c>
    </row>
    <row r="40" spans="1:6">
      <c r="A40" s="4"/>
      <c r="B40" s="11">
        <v>8</v>
      </c>
      <c r="C40" t="s">
        <v>3</v>
      </c>
      <c r="D40" t="s">
        <v>65</v>
      </c>
      <c r="E40">
        <v>3</v>
      </c>
      <c r="F40">
        <v>1</v>
      </c>
    </row>
    <row r="41" spans="1:6">
      <c r="A41" s="4"/>
      <c r="B41" s="11">
        <v>9</v>
      </c>
      <c r="C41" t="s">
        <v>4</v>
      </c>
    </row>
    <row r="42" spans="1:6">
      <c r="A42" s="4"/>
      <c r="B42" s="11">
        <v>10</v>
      </c>
      <c r="C42" t="s">
        <v>5</v>
      </c>
    </row>
    <row r="43" spans="1:6">
      <c r="A43" s="4"/>
      <c r="B43" s="11">
        <v>11</v>
      </c>
      <c r="C43" t="s">
        <v>6</v>
      </c>
    </row>
    <row r="44" spans="1:6">
      <c r="A44" s="4"/>
      <c r="B44" s="11">
        <v>12</v>
      </c>
      <c r="C44" s="3" t="s">
        <v>7</v>
      </c>
    </row>
    <row r="45" spans="1:6">
      <c r="A45" s="4"/>
      <c r="B45" s="11">
        <v>13</v>
      </c>
      <c r="C45" s="3" t="s">
        <v>1</v>
      </c>
    </row>
    <row r="46" spans="1:6">
      <c r="A46" s="4"/>
      <c r="B46" s="11">
        <v>14</v>
      </c>
      <c r="C46" t="s">
        <v>2</v>
      </c>
    </row>
    <row r="47" spans="1:6">
      <c r="A47" s="4"/>
      <c r="B47" s="11">
        <v>15</v>
      </c>
      <c r="C47" t="s">
        <v>3</v>
      </c>
    </row>
    <row r="48" spans="1:6">
      <c r="A48" s="4"/>
      <c r="B48" s="11">
        <v>16</v>
      </c>
      <c r="C48" t="s">
        <v>4</v>
      </c>
    </row>
    <row r="49" spans="1:3">
      <c r="A49" s="4"/>
      <c r="B49" s="11">
        <v>17</v>
      </c>
      <c r="C49" t="s">
        <v>5</v>
      </c>
    </row>
    <row r="50" spans="1:3">
      <c r="A50" s="4"/>
      <c r="B50" s="11">
        <v>18</v>
      </c>
      <c r="C50" t="s">
        <v>6</v>
      </c>
    </row>
    <row r="51" spans="1:3">
      <c r="A51" s="4"/>
      <c r="B51" s="11">
        <v>19</v>
      </c>
      <c r="C51" s="3" t="s">
        <v>7</v>
      </c>
    </row>
    <row r="52" spans="1:3">
      <c r="A52" s="4"/>
      <c r="B52" s="11">
        <v>20</v>
      </c>
      <c r="C52" s="3" t="s">
        <v>1</v>
      </c>
    </row>
    <row r="53" spans="1:3">
      <c r="A53" s="4"/>
      <c r="B53" s="11">
        <v>21</v>
      </c>
      <c r="C53" t="s">
        <v>2</v>
      </c>
    </row>
    <row r="54" spans="1:3">
      <c r="A54" s="4"/>
      <c r="B54" s="11">
        <v>22</v>
      </c>
      <c r="C54" t="s">
        <v>3</v>
      </c>
    </row>
    <row r="55" spans="1:3">
      <c r="A55" s="4"/>
      <c r="B55" s="11">
        <v>23</v>
      </c>
      <c r="C55" t="s">
        <v>4</v>
      </c>
    </row>
    <row r="56" spans="1:3">
      <c r="A56" s="4"/>
      <c r="B56" s="11">
        <v>24</v>
      </c>
      <c r="C56" t="s">
        <v>5</v>
      </c>
    </row>
    <row r="57" spans="1:3">
      <c r="A57" s="4"/>
      <c r="B57" s="11">
        <v>25</v>
      </c>
      <c r="C57" t="s">
        <v>6</v>
      </c>
    </row>
    <row r="58" spans="1:3">
      <c r="A58" s="4"/>
      <c r="B58" s="11">
        <v>26</v>
      </c>
      <c r="C58" s="3" t="s">
        <v>7</v>
      </c>
    </row>
    <row r="59" spans="1:3">
      <c r="A59" s="4"/>
      <c r="B59" s="11">
        <v>27</v>
      </c>
      <c r="C59" s="3" t="s">
        <v>1</v>
      </c>
    </row>
    <row r="60" spans="1:3">
      <c r="A60" s="4"/>
      <c r="B60" s="11">
        <v>28</v>
      </c>
      <c r="C60" t="s">
        <v>2</v>
      </c>
    </row>
    <row r="61" spans="1:3">
      <c r="A61" s="4"/>
      <c r="B61" s="11">
        <v>29</v>
      </c>
      <c r="C61" t="s">
        <v>3</v>
      </c>
    </row>
    <row r="62" spans="1:3">
      <c r="A62" s="4"/>
      <c r="B62" s="11">
        <v>30</v>
      </c>
      <c r="C62" t="s">
        <v>4</v>
      </c>
    </row>
    <row r="63" spans="1:3">
      <c r="A63" s="4"/>
      <c r="B63" s="11">
        <v>31</v>
      </c>
      <c r="C63" t="s">
        <v>5</v>
      </c>
    </row>
    <row r="64" spans="1:3">
      <c r="C64" t="s">
        <v>6</v>
      </c>
    </row>
    <row r="65" spans="3:3">
      <c r="C65" s="3" t="s">
        <v>7</v>
      </c>
    </row>
    <row r="66" spans="3:3">
      <c r="C66" s="3" t="s">
        <v>1</v>
      </c>
    </row>
    <row r="67" spans="3:3">
      <c r="C67" t="s">
        <v>2</v>
      </c>
    </row>
  </sheetData>
  <mergeCells count="42">
    <mergeCell ref="CH1:CI1"/>
    <mergeCell ref="BX1:BY1"/>
    <mergeCell ref="BZ1:CA1"/>
    <mergeCell ref="CB1:CC1"/>
    <mergeCell ref="CD1:CE1"/>
    <mergeCell ref="CF1:CG1"/>
    <mergeCell ref="BN1:BO1"/>
    <mergeCell ref="BP1:BQ1"/>
    <mergeCell ref="BR1:BS1"/>
    <mergeCell ref="BT1:BU1"/>
    <mergeCell ref="BV1:BW1"/>
    <mergeCell ref="BD1:BE1"/>
    <mergeCell ref="BF1:BG1"/>
    <mergeCell ref="BH1:BI1"/>
    <mergeCell ref="BJ1:BK1"/>
    <mergeCell ref="BL1:BM1"/>
    <mergeCell ref="AT1:AU1"/>
    <mergeCell ref="AV1:AW1"/>
    <mergeCell ref="AX1:AY1"/>
    <mergeCell ref="AZ1:BA1"/>
    <mergeCell ref="BB1:BC1"/>
    <mergeCell ref="AJ1:AK1"/>
    <mergeCell ref="AL1:AM1"/>
    <mergeCell ref="AN1:AO1"/>
    <mergeCell ref="AP1:AQ1"/>
    <mergeCell ref="AR1:AS1"/>
    <mergeCell ref="V1:W1"/>
    <mergeCell ref="X1:Y1"/>
    <mergeCell ref="AB1:AC1"/>
    <mergeCell ref="AD1:AE1"/>
    <mergeCell ref="AH1:AI1"/>
    <mergeCell ref="L1:M1"/>
    <mergeCell ref="N1:O1"/>
    <mergeCell ref="P1:Q1"/>
    <mergeCell ref="R1:S1"/>
    <mergeCell ref="T1:U1"/>
    <mergeCell ref="A3:A6"/>
    <mergeCell ref="A7:A30"/>
    <mergeCell ref="D1:E1"/>
    <mergeCell ref="F1:G1"/>
    <mergeCell ref="J1:K1"/>
    <mergeCell ref="H1:I1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6F055-F8AC-C940-B2A0-9BF1F6D63393}">
  <sheetPr>
    <tabColor rgb="FF92D050"/>
  </sheetPr>
  <dimension ref="A1:J17"/>
  <sheetViews>
    <sheetView workbookViewId="0">
      <selection activeCell="D23" sqref="D23"/>
    </sheetView>
  </sheetViews>
  <sheetFormatPr baseColWidth="10" defaultRowHeight="20"/>
  <cols>
    <col min="6" max="6" width="3" customWidth="1"/>
  </cols>
  <sheetData>
    <row r="1" spans="1:10">
      <c r="A1" s="19" t="s">
        <v>84</v>
      </c>
    </row>
    <row r="2" spans="1:10">
      <c r="A2" t="s">
        <v>72</v>
      </c>
    </row>
    <row r="3" spans="1:10">
      <c r="A3" t="s">
        <v>71</v>
      </c>
    </row>
    <row r="4" spans="1:10">
      <c r="E4" t="s">
        <v>73</v>
      </c>
    </row>
    <row r="5" spans="1:10" s="7" customFormat="1">
      <c r="A5" s="23" t="s">
        <v>70</v>
      </c>
      <c r="B5" s="9" t="s">
        <v>66</v>
      </c>
      <c r="C5" s="9" t="s">
        <v>67</v>
      </c>
      <c r="D5" s="9" t="s">
        <v>68</v>
      </c>
      <c r="E5" s="24" t="s">
        <v>69</v>
      </c>
      <c r="G5" s="21" t="s">
        <v>74</v>
      </c>
      <c r="H5" s="21" t="s">
        <v>75</v>
      </c>
      <c r="I5" s="21" t="s">
        <v>76</v>
      </c>
      <c r="J5" s="22" t="s">
        <v>77</v>
      </c>
    </row>
    <row r="6" spans="1:10">
      <c r="A6" s="20" t="s">
        <v>8</v>
      </c>
      <c r="B6" s="6">
        <v>5</v>
      </c>
      <c r="C6" s="6">
        <v>3</v>
      </c>
      <c r="D6" s="6">
        <v>4</v>
      </c>
      <c r="E6" s="6">
        <v>3</v>
      </c>
      <c r="G6" s="6">
        <f>SUM(B6:D6)</f>
        <v>12</v>
      </c>
      <c r="H6" s="6">
        <f>18-G6</f>
        <v>6</v>
      </c>
      <c r="I6" s="6">
        <f>E6*2</f>
        <v>6</v>
      </c>
      <c r="J6" s="6">
        <f>H6+I6</f>
        <v>12</v>
      </c>
    </row>
    <row r="7" spans="1:10">
      <c r="A7" s="20" t="s">
        <v>9</v>
      </c>
      <c r="B7" s="6">
        <v>6</v>
      </c>
      <c r="C7" s="6">
        <v>5</v>
      </c>
      <c r="D7" s="6">
        <v>3</v>
      </c>
      <c r="E7" s="6">
        <v>1</v>
      </c>
      <c r="G7" s="6">
        <f>SUM(B7:D7)</f>
        <v>14</v>
      </c>
      <c r="H7" s="6">
        <f>18-G7</f>
        <v>4</v>
      </c>
      <c r="I7" s="6">
        <f>E7*2</f>
        <v>2</v>
      </c>
      <c r="J7" s="6">
        <f>H7+I7</f>
        <v>6</v>
      </c>
    </row>
    <row r="9" spans="1:10">
      <c r="A9" t="s">
        <v>78</v>
      </c>
      <c r="B9" t="s">
        <v>79</v>
      </c>
    </row>
    <row r="10" spans="1:10">
      <c r="B10" t="s">
        <v>80</v>
      </c>
    </row>
    <row r="11" spans="1:10">
      <c r="B11" t="s">
        <v>81</v>
      </c>
    </row>
    <row r="12" spans="1:10">
      <c r="B12" t="s">
        <v>82</v>
      </c>
    </row>
    <row r="13" spans="1:10">
      <c r="B13" t="s">
        <v>83</v>
      </c>
    </row>
    <row r="16" spans="1:10">
      <c r="A16" s="19" t="s">
        <v>85</v>
      </c>
    </row>
    <row r="17" spans="1:3">
      <c r="A17" t="s">
        <v>86</v>
      </c>
      <c r="C17">
        <f>DATEDIF(B2,B3,"D")</f>
        <v>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C0367-2826-084A-A889-D908F39B101C}">
  <dimension ref="A1:U21"/>
  <sheetViews>
    <sheetView workbookViewId="0">
      <selection activeCell="A5" sqref="A5:XFD5"/>
    </sheetView>
  </sheetViews>
  <sheetFormatPr baseColWidth="10" defaultColWidth="7.5703125" defaultRowHeight="18"/>
  <cols>
    <col min="1" max="1" width="17.42578125" style="48" customWidth="1"/>
    <col min="2" max="2" width="9.5703125" style="47" customWidth="1"/>
    <col min="3" max="16384" width="7.5703125" style="47"/>
  </cols>
  <sheetData>
    <row r="1" spans="1:21" s="50" customFormat="1" ht="29" customHeight="1">
      <c r="B1" s="51" t="s">
        <v>22</v>
      </c>
      <c r="C1" s="51" t="s">
        <v>23</v>
      </c>
      <c r="D1" s="51" t="s">
        <v>24</v>
      </c>
      <c r="E1" s="51" t="s">
        <v>25</v>
      </c>
      <c r="F1" s="51" t="s">
        <v>45</v>
      </c>
      <c r="G1" s="51" t="s">
        <v>10</v>
      </c>
      <c r="H1" s="51" t="s">
        <v>26</v>
      </c>
      <c r="I1" s="51" t="s">
        <v>27</v>
      </c>
      <c r="J1" s="51" t="s">
        <v>28</v>
      </c>
      <c r="K1" s="51" t="s">
        <v>29</v>
      </c>
      <c r="L1" s="51" t="s">
        <v>31</v>
      </c>
      <c r="M1" s="51" t="s">
        <v>32</v>
      </c>
      <c r="N1" s="51" t="s">
        <v>35</v>
      </c>
      <c r="O1" s="51" t="s">
        <v>87</v>
      </c>
      <c r="P1" s="51" t="s">
        <v>36</v>
      </c>
      <c r="Q1" s="51" t="s">
        <v>37</v>
      </c>
      <c r="R1" s="51" t="s">
        <v>38</v>
      </c>
      <c r="S1" s="51" t="s">
        <v>39</v>
      </c>
      <c r="T1" s="51" t="s">
        <v>40</v>
      </c>
      <c r="U1" s="51" t="s">
        <v>41</v>
      </c>
    </row>
    <row r="2" spans="1:21">
      <c r="A2" s="49" t="s">
        <v>22</v>
      </c>
      <c r="B2" s="47">
        <v>0</v>
      </c>
      <c r="C2" s="47">
        <v>534.6</v>
      </c>
      <c r="D2" s="47">
        <v>791.8</v>
      </c>
      <c r="E2" s="47">
        <v>810.5</v>
      </c>
      <c r="F2" s="47">
        <v>809.3</v>
      </c>
      <c r="G2" s="47">
        <v>808.6</v>
      </c>
      <c r="H2" s="47">
        <v>838.8</v>
      </c>
      <c r="I2" s="47">
        <v>838.8</v>
      </c>
      <c r="J2" s="47">
        <v>844.8</v>
      </c>
      <c r="K2" s="47">
        <v>853</v>
      </c>
      <c r="L2" s="47">
        <v>877.2</v>
      </c>
      <c r="M2" s="47">
        <v>606.6</v>
      </c>
      <c r="N2" s="47">
        <v>957.9</v>
      </c>
      <c r="O2" s="47">
        <v>1024.5</v>
      </c>
      <c r="P2" s="47">
        <v>1051.2</v>
      </c>
      <c r="Q2" s="47">
        <v>1064.3</v>
      </c>
      <c r="R2" s="47">
        <v>1074.9000000000001</v>
      </c>
      <c r="S2" s="47">
        <v>1232.9000000000001</v>
      </c>
      <c r="T2" s="47">
        <v>1418.4</v>
      </c>
      <c r="U2" s="47">
        <v>1432.9</v>
      </c>
    </row>
    <row r="3" spans="1:21">
      <c r="A3" s="49" t="s">
        <v>23</v>
      </c>
      <c r="B3" s="47">
        <v>534.6</v>
      </c>
      <c r="C3" s="47">
        <v>0</v>
      </c>
      <c r="D3" s="47">
        <v>257.2</v>
      </c>
      <c r="E3" s="47">
        <v>285</v>
      </c>
      <c r="F3" s="47">
        <v>284.89999999999998</v>
      </c>
      <c r="G3" s="47">
        <v>278.39999999999998</v>
      </c>
      <c r="H3" s="47">
        <v>314.2</v>
      </c>
      <c r="I3" s="47">
        <v>314.2</v>
      </c>
      <c r="J3" s="47">
        <v>317.89999999999998</v>
      </c>
      <c r="K3" s="47">
        <v>326.60000000000002</v>
      </c>
      <c r="L3" s="47">
        <v>353.9</v>
      </c>
      <c r="M3" s="47">
        <v>166.6</v>
      </c>
      <c r="N3" s="47">
        <v>484.6</v>
      </c>
      <c r="O3" s="47">
        <v>595.1</v>
      </c>
      <c r="P3" s="47">
        <v>616.79999999999995</v>
      </c>
      <c r="Q3" s="47">
        <v>625.9</v>
      </c>
      <c r="R3" s="47">
        <v>648.29999999999995</v>
      </c>
      <c r="S3" s="47">
        <v>867.1</v>
      </c>
      <c r="T3" s="47">
        <v>1074</v>
      </c>
      <c r="U3" s="47">
        <v>1080.7</v>
      </c>
    </row>
    <row r="4" spans="1:21">
      <c r="A4" s="49" t="s">
        <v>24</v>
      </c>
      <c r="B4" s="47">
        <v>791.8</v>
      </c>
      <c r="C4" s="47">
        <v>257.2</v>
      </c>
      <c r="D4" s="47">
        <v>0</v>
      </c>
      <c r="E4" s="47">
        <v>87.5</v>
      </c>
      <c r="F4" s="47">
        <v>92.2</v>
      </c>
      <c r="G4" s="47">
        <v>61.1</v>
      </c>
      <c r="H4" s="47">
        <v>105.6</v>
      </c>
      <c r="I4" s="47">
        <v>105.6</v>
      </c>
      <c r="J4" s="47">
        <v>99</v>
      </c>
      <c r="K4" s="47">
        <v>106.3</v>
      </c>
      <c r="L4" s="47">
        <v>136.6</v>
      </c>
      <c r="M4" s="47">
        <v>259.5</v>
      </c>
      <c r="N4" s="47">
        <v>330.4</v>
      </c>
      <c r="O4" s="47">
        <v>470.9</v>
      </c>
      <c r="P4" s="47">
        <v>483.7</v>
      </c>
      <c r="Q4" s="47">
        <v>487.3</v>
      </c>
      <c r="R4" s="47">
        <v>518.4</v>
      </c>
      <c r="S4" s="47">
        <v>763.8</v>
      </c>
      <c r="T4" s="47">
        <v>969.8</v>
      </c>
      <c r="U4" s="47">
        <v>970.5</v>
      </c>
    </row>
    <row r="5" spans="1:21">
      <c r="A5" s="49" t="s">
        <v>25</v>
      </c>
      <c r="B5" s="47">
        <v>810.5</v>
      </c>
      <c r="C5" s="47">
        <v>285</v>
      </c>
      <c r="D5" s="47">
        <v>87.5</v>
      </c>
      <c r="E5" s="47">
        <v>0</v>
      </c>
      <c r="F5" s="47">
        <v>5.3</v>
      </c>
      <c r="G5" s="47">
        <v>27.1</v>
      </c>
      <c r="H5" s="47">
        <v>29.3</v>
      </c>
      <c r="I5" s="47">
        <v>29.3</v>
      </c>
      <c r="J5" s="47">
        <v>34.5</v>
      </c>
      <c r="K5" s="47">
        <v>42.5</v>
      </c>
      <c r="L5" s="47">
        <v>69</v>
      </c>
      <c r="M5" s="47">
        <v>231.4</v>
      </c>
      <c r="N5" s="47">
        <v>245.1</v>
      </c>
      <c r="O5" s="47">
        <v>384</v>
      </c>
      <c r="P5" s="47">
        <v>397.6</v>
      </c>
      <c r="Q5" s="47">
        <v>401.7</v>
      </c>
      <c r="R5" s="47">
        <v>432.2</v>
      </c>
      <c r="S5" s="47">
        <v>676.7</v>
      </c>
      <c r="T5" s="47">
        <v>883.1</v>
      </c>
      <c r="U5" s="47">
        <v>884.2</v>
      </c>
    </row>
    <row r="6" spans="1:21">
      <c r="A6" s="49" t="s">
        <v>45</v>
      </c>
      <c r="B6" s="47">
        <v>809.3</v>
      </c>
      <c r="C6" s="47">
        <v>284.89999999999998</v>
      </c>
      <c r="D6" s="47">
        <v>92.2</v>
      </c>
      <c r="E6" s="47">
        <v>5.3</v>
      </c>
      <c r="F6" s="47">
        <v>0</v>
      </c>
      <c r="G6" s="47">
        <v>32.1</v>
      </c>
      <c r="H6" s="47">
        <v>29.5</v>
      </c>
      <c r="I6" s="47">
        <v>29.5</v>
      </c>
      <c r="J6" s="47">
        <v>36.6</v>
      </c>
      <c r="K6" s="47">
        <v>44.1</v>
      </c>
      <c r="L6" s="47">
        <v>69</v>
      </c>
      <c r="M6" s="47">
        <v>228.2</v>
      </c>
      <c r="N6" s="47">
        <v>241.3</v>
      </c>
      <c r="O6" s="47">
        <v>379.8</v>
      </c>
      <c r="P6" s="47">
        <v>393.6</v>
      </c>
      <c r="Q6" s="47">
        <v>397.9</v>
      </c>
      <c r="R6" s="47">
        <v>428.1</v>
      </c>
      <c r="S6" s="47">
        <v>672.4</v>
      </c>
      <c r="T6" s="47">
        <v>878.9</v>
      </c>
      <c r="U6" s="47">
        <v>880.1</v>
      </c>
    </row>
    <row r="7" spans="1:21">
      <c r="A7" s="49" t="s">
        <v>10</v>
      </c>
      <c r="B7" s="47">
        <v>808.6</v>
      </c>
      <c r="C7" s="47">
        <v>278.39999999999998</v>
      </c>
      <c r="D7" s="47">
        <v>61.1</v>
      </c>
      <c r="E7" s="47">
        <v>27.1</v>
      </c>
      <c r="F7" s="47">
        <v>32.1</v>
      </c>
      <c r="G7" s="47">
        <v>0</v>
      </c>
      <c r="H7" s="47">
        <v>46.3</v>
      </c>
      <c r="I7" s="47">
        <v>46.3</v>
      </c>
      <c r="J7" s="47">
        <v>43.3</v>
      </c>
      <c r="K7" s="47">
        <v>51.9</v>
      </c>
      <c r="L7" s="47">
        <v>82.5</v>
      </c>
      <c r="M7" s="47">
        <v>241.6</v>
      </c>
      <c r="N7" s="47">
        <v>269.7</v>
      </c>
      <c r="O7" s="47">
        <v>409.8</v>
      </c>
      <c r="P7" s="47">
        <v>422.9</v>
      </c>
      <c r="Q7" s="47">
        <v>426.6</v>
      </c>
      <c r="R7" s="47">
        <v>457.5</v>
      </c>
      <c r="S7" s="47">
        <v>702.7</v>
      </c>
      <c r="T7" s="47">
        <v>908.8</v>
      </c>
      <c r="U7" s="47">
        <v>909.6</v>
      </c>
    </row>
    <row r="8" spans="1:21">
      <c r="A8" s="49" t="s">
        <v>26</v>
      </c>
      <c r="B8" s="47">
        <v>838.8</v>
      </c>
      <c r="C8" s="47">
        <v>314.2</v>
      </c>
      <c r="D8" s="47">
        <v>105.6</v>
      </c>
      <c r="E8" s="47">
        <v>29.3</v>
      </c>
      <c r="F8" s="47">
        <v>29.5</v>
      </c>
      <c r="G8" s="47">
        <v>46.3</v>
      </c>
      <c r="H8" s="47">
        <v>0</v>
      </c>
      <c r="I8" s="47">
        <v>0</v>
      </c>
      <c r="J8" s="47">
        <v>13.2</v>
      </c>
      <c r="K8" s="47">
        <v>16.7</v>
      </c>
      <c r="L8" s="47">
        <v>39.700000000000003</v>
      </c>
      <c r="M8" s="47">
        <v>254.6</v>
      </c>
      <c r="N8" s="47">
        <v>224.9</v>
      </c>
      <c r="O8" s="47">
        <v>366.4</v>
      </c>
      <c r="P8" s="47">
        <v>378.5</v>
      </c>
      <c r="Q8" s="47">
        <v>381.8</v>
      </c>
      <c r="R8" s="47">
        <v>413.1</v>
      </c>
      <c r="S8" s="47">
        <v>659.3</v>
      </c>
      <c r="T8" s="47">
        <v>864.8</v>
      </c>
      <c r="U8" s="47">
        <v>865.2</v>
      </c>
    </row>
    <row r="9" spans="1:21">
      <c r="A9" s="49" t="s">
        <v>27</v>
      </c>
      <c r="B9" s="47">
        <v>838.8</v>
      </c>
      <c r="C9" s="47">
        <v>314.2</v>
      </c>
      <c r="D9" s="47">
        <v>105.6</v>
      </c>
      <c r="E9" s="47">
        <v>29.3</v>
      </c>
      <c r="F9" s="47">
        <v>29.5</v>
      </c>
      <c r="G9" s="47">
        <v>46.3</v>
      </c>
      <c r="H9" s="47">
        <v>0</v>
      </c>
      <c r="I9" s="47">
        <v>0</v>
      </c>
      <c r="J9" s="47">
        <v>13.2</v>
      </c>
      <c r="K9" s="47">
        <v>16.7</v>
      </c>
      <c r="L9" s="47">
        <v>39.700000000000003</v>
      </c>
      <c r="M9" s="47">
        <v>254.6</v>
      </c>
      <c r="N9" s="47">
        <v>224.9</v>
      </c>
      <c r="O9" s="47">
        <v>366.4</v>
      </c>
      <c r="P9" s="47">
        <v>378.5</v>
      </c>
      <c r="Q9" s="47">
        <v>381.8</v>
      </c>
      <c r="R9" s="47">
        <v>413.1</v>
      </c>
      <c r="S9" s="47">
        <v>659.3</v>
      </c>
      <c r="T9" s="47">
        <v>864.8</v>
      </c>
      <c r="U9" s="47">
        <v>865.2</v>
      </c>
    </row>
    <row r="10" spans="1:21">
      <c r="A10" s="49" t="s">
        <v>28</v>
      </c>
      <c r="B10" s="47">
        <v>844.8</v>
      </c>
      <c r="C10" s="47">
        <v>317.89999999999998</v>
      </c>
      <c r="D10" s="47">
        <v>99</v>
      </c>
      <c r="E10" s="47">
        <v>34.5</v>
      </c>
      <c r="F10" s="47">
        <v>36.6</v>
      </c>
      <c r="G10" s="47">
        <v>43.3</v>
      </c>
      <c r="H10" s="47">
        <v>13.2</v>
      </c>
      <c r="I10" s="47">
        <v>13.2</v>
      </c>
      <c r="J10" s="47">
        <v>0</v>
      </c>
      <c r="K10" s="47">
        <v>8.8000000000000007</v>
      </c>
      <c r="L10" s="47">
        <v>39.299999999999997</v>
      </c>
      <c r="M10" s="47">
        <v>264.39999999999998</v>
      </c>
      <c r="N10" s="47">
        <v>233.2</v>
      </c>
      <c r="O10" s="47">
        <v>375.5</v>
      </c>
      <c r="P10" s="47">
        <v>386.9</v>
      </c>
      <c r="Q10" s="47">
        <v>389.8</v>
      </c>
      <c r="R10" s="47">
        <v>421.6</v>
      </c>
      <c r="S10" s="47">
        <v>668.4</v>
      </c>
      <c r="T10" s="47">
        <v>873.4</v>
      </c>
      <c r="U10" s="47">
        <v>873.5</v>
      </c>
    </row>
    <row r="11" spans="1:21">
      <c r="A11" s="49" t="s">
        <v>29</v>
      </c>
      <c r="B11" s="47">
        <v>853</v>
      </c>
      <c r="C11" s="47">
        <v>326.60000000000002</v>
      </c>
      <c r="D11" s="47">
        <v>106.3</v>
      </c>
      <c r="E11" s="47">
        <v>42.5</v>
      </c>
      <c r="F11" s="47">
        <v>44.1</v>
      </c>
      <c r="G11" s="47">
        <v>51.9</v>
      </c>
      <c r="H11" s="47">
        <v>16.7</v>
      </c>
      <c r="I11" s="47">
        <v>16.7</v>
      </c>
      <c r="J11" s="47">
        <v>8.8000000000000007</v>
      </c>
      <c r="K11" s="47">
        <v>0</v>
      </c>
      <c r="L11" s="47">
        <v>30.8</v>
      </c>
      <c r="M11" s="47">
        <v>271</v>
      </c>
      <c r="N11" s="47">
        <v>227.3</v>
      </c>
      <c r="O11" s="47">
        <v>370.1</v>
      </c>
      <c r="P11" s="47">
        <v>381.1</v>
      </c>
      <c r="Q11" s="47">
        <v>383.7</v>
      </c>
      <c r="R11" s="47">
        <v>415.7</v>
      </c>
      <c r="S11" s="47">
        <v>662.9</v>
      </c>
      <c r="T11" s="47">
        <v>867.6</v>
      </c>
      <c r="U11" s="47">
        <v>867.5</v>
      </c>
    </row>
    <row r="12" spans="1:21">
      <c r="A12" s="49" t="s">
        <v>31</v>
      </c>
      <c r="B12" s="47">
        <v>877.2</v>
      </c>
      <c r="C12" s="47">
        <v>353.9</v>
      </c>
      <c r="D12" s="47">
        <v>136.6</v>
      </c>
      <c r="E12" s="47">
        <v>69</v>
      </c>
      <c r="F12" s="47">
        <v>69</v>
      </c>
      <c r="G12" s="47">
        <v>82.5</v>
      </c>
      <c r="H12" s="47">
        <v>39.700000000000003</v>
      </c>
      <c r="I12" s="47">
        <v>39.700000000000003</v>
      </c>
      <c r="J12" s="47">
        <v>39.299999999999997</v>
      </c>
      <c r="K12" s="47">
        <v>30.8</v>
      </c>
      <c r="L12" s="47">
        <v>0</v>
      </c>
      <c r="M12" s="47">
        <v>287.8</v>
      </c>
      <c r="N12" s="47">
        <v>201.1</v>
      </c>
      <c r="O12" s="47">
        <v>344.9</v>
      </c>
      <c r="P12" s="47">
        <v>354.7</v>
      </c>
      <c r="Q12" s="47">
        <v>356.7</v>
      </c>
      <c r="R12" s="47">
        <v>389.2</v>
      </c>
      <c r="S12" s="47">
        <v>637.1</v>
      </c>
      <c r="T12" s="47">
        <v>840.9</v>
      </c>
      <c r="U12" s="47">
        <v>840.3</v>
      </c>
    </row>
    <row r="13" spans="1:21">
      <c r="A13" s="49" t="s">
        <v>32</v>
      </c>
      <c r="B13" s="47">
        <v>606.6</v>
      </c>
      <c r="C13" s="47">
        <v>166.6</v>
      </c>
      <c r="D13" s="47">
        <v>259.5</v>
      </c>
      <c r="E13" s="47">
        <v>231.4</v>
      </c>
      <c r="F13" s="47">
        <v>228.2</v>
      </c>
      <c r="G13" s="47">
        <v>241.6</v>
      </c>
      <c r="H13" s="47">
        <v>254.6</v>
      </c>
      <c r="I13" s="47">
        <v>254.6</v>
      </c>
      <c r="J13" s="47">
        <v>264.39999999999998</v>
      </c>
      <c r="K13" s="47">
        <v>271</v>
      </c>
      <c r="L13" s="47">
        <v>287.8</v>
      </c>
      <c r="M13" s="47">
        <v>0</v>
      </c>
      <c r="N13" s="47">
        <v>355</v>
      </c>
      <c r="O13" s="47">
        <v>445.5</v>
      </c>
      <c r="P13" s="47">
        <v>469.4</v>
      </c>
      <c r="Q13" s="47">
        <v>480.3</v>
      </c>
      <c r="R13" s="47">
        <v>498.7</v>
      </c>
      <c r="S13" s="47">
        <v>706.3</v>
      </c>
      <c r="T13" s="47">
        <v>911.9</v>
      </c>
      <c r="U13" s="47">
        <v>919.5</v>
      </c>
    </row>
    <row r="14" spans="1:21">
      <c r="A14" s="49" t="s">
        <v>35</v>
      </c>
      <c r="B14" s="47">
        <v>957.9</v>
      </c>
      <c r="C14" s="47">
        <v>484.6</v>
      </c>
      <c r="D14" s="47">
        <v>330.4</v>
      </c>
      <c r="E14" s="47">
        <v>245.1</v>
      </c>
      <c r="F14" s="47">
        <v>241.3</v>
      </c>
      <c r="G14" s="47">
        <v>269.7</v>
      </c>
      <c r="H14" s="47">
        <v>224.9</v>
      </c>
      <c r="I14" s="47">
        <v>224.9</v>
      </c>
      <c r="J14" s="47">
        <v>233.2</v>
      </c>
      <c r="K14" s="47">
        <v>227.3</v>
      </c>
      <c r="L14" s="47">
        <v>201.1</v>
      </c>
      <c r="M14" s="47">
        <v>355</v>
      </c>
      <c r="N14" s="47">
        <v>0</v>
      </c>
      <c r="O14" s="47">
        <v>144.1</v>
      </c>
      <c r="P14" s="47">
        <v>153.80000000000001</v>
      </c>
      <c r="Q14" s="47">
        <v>156.9</v>
      </c>
      <c r="R14" s="47">
        <v>188.4</v>
      </c>
      <c r="S14" s="47">
        <v>435.9</v>
      </c>
      <c r="T14" s="47">
        <v>640.29999999999995</v>
      </c>
      <c r="U14" s="47">
        <v>640.29999999999995</v>
      </c>
    </row>
    <row r="15" spans="1:21">
      <c r="A15" s="49" t="s">
        <v>87</v>
      </c>
      <c r="B15" s="47">
        <v>1024.5</v>
      </c>
      <c r="C15" s="47">
        <v>595.1</v>
      </c>
      <c r="D15" s="47">
        <v>470.9</v>
      </c>
      <c r="E15" s="47">
        <v>384</v>
      </c>
      <c r="F15" s="47">
        <v>379.8</v>
      </c>
      <c r="G15" s="47">
        <v>409.8</v>
      </c>
      <c r="H15" s="47">
        <v>366.4</v>
      </c>
      <c r="I15" s="47">
        <v>366.4</v>
      </c>
      <c r="J15" s="47">
        <v>375.5</v>
      </c>
      <c r="K15" s="47">
        <v>370.1</v>
      </c>
      <c r="L15" s="47">
        <v>344.9</v>
      </c>
      <c r="M15" s="47">
        <v>445.5</v>
      </c>
      <c r="N15" s="47">
        <v>144.1</v>
      </c>
      <c r="O15" s="47">
        <v>0</v>
      </c>
      <c r="P15" s="47">
        <v>27.8</v>
      </c>
      <c r="Q15" s="47">
        <v>42.8</v>
      </c>
      <c r="R15" s="47">
        <v>53.4</v>
      </c>
      <c r="S15" s="47">
        <v>293</v>
      </c>
      <c r="T15" s="47">
        <v>499.1</v>
      </c>
      <c r="U15" s="47">
        <v>500.7</v>
      </c>
    </row>
    <row r="16" spans="1:21">
      <c r="A16" s="49" t="s">
        <v>36</v>
      </c>
      <c r="B16" s="47">
        <v>1051.2</v>
      </c>
      <c r="C16" s="47">
        <v>616.79999999999995</v>
      </c>
      <c r="D16" s="47">
        <v>483.7</v>
      </c>
      <c r="E16" s="47">
        <v>397.6</v>
      </c>
      <c r="F16" s="47">
        <v>393.6</v>
      </c>
      <c r="G16" s="47">
        <v>422.9</v>
      </c>
      <c r="H16" s="47">
        <v>378.5</v>
      </c>
      <c r="I16" s="47">
        <v>378.5</v>
      </c>
      <c r="J16" s="47">
        <v>386.9</v>
      </c>
      <c r="K16" s="47">
        <v>381.1</v>
      </c>
      <c r="L16" s="47">
        <v>354.7</v>
      </c>
      <c r="M16" s="47">
        <v>469.4</v>
      </c>
      <c r="N16" s="47">
        <v>153.80000000000001</v>
      </c>
      <c r="O16" s="47">
        <v>27.8</v>
      </c>
      <c r="P16" s="47">
        <v>0</v>
      </c>
      <c r="Q16" s="47">
        <v>15.4</v>
      </c>
      <c r="R16" s="47">
        <v>34.700000000000003</v>
      </c>
      <c r="S16" s="47">
        <v>282.8</v>
      </c>
      <c r="T16" s="47">
        <v>486.5</v>
      </c>
      <c r="U16" s="47">
        <v>486.8</v>
      </c>
    </row>
    <row r="17" spans="1:21">
      <c r="A17" s="49" t="s">
        <v>37</v>
      </c>
      <c r="B17" s="47">
        <v>1064.3</v>
      </c>
      <c r="C17" s="47">
        <v>625.9</v>
      </c>
      <c r="D17" s="47">
        <v>487.3</v>
      </c>
      <c r="E17" s="47">
        <v>401.7</v>
      </c>
      <c r="F17" s="47">
        <v>397.9</v>
      </c>
      <c r="G17" s="47">
        <v>426.6</v>
      </c>
      <c r="H17" s="47">
        <v>381.8</v>
      </c>
      <c r="I17" s="47">
        <v>381.8</v>
      </c>
      <c r="J17" s="47">
        <v>389.8</v>
      </c>
      <c r="K17" s="47">
        <v>383.7</v>
      </c>
      <c r="L17" s="47">
        <v>356.7</v>
      </c>
      <c r="M17" s="47">
        <v>480.3</v>
      </c>
      <c r="N17" s="47">
        <v>156.9</v>
      </c>
      <c r="O17" s="47">
        <v>42.8</v>
      </c>
      <c r="P17" s="47">
        <v>15.4</v>
      </c>
      <c r="Q17" s="47">
        <v>0</v>
      </c>
      <c r="R17" s="47">
        <v>35.299999999999997</v>
      </c>
      <c r="S17" s="47">
        <v>282.5</v>
      </c>
      <c r="T17" s="47">
        <v>484.3</v>
      </c>
      <c r="U17" s="47">
        <v>483.7</v>
      </c>
    </row>
    <row r="18" spans="1:21">
      <c r="A18" s="49" t="s">
        <v>38</v>
      </c>
      <c r="B18" s="47">
        <v>1074.9000000000001</v>
      </c>
      <c r="C18" s="47">
        <v>648.29999999999995</v>
      </c>
      <c r="D18" s="47">
        <v>518.4</v>
      </c>
      <c r="E18" s="47">
        <v>432.2</v>
      </c>
      <c r="F18" s="47">
        <v>428.1</v>
      </c>
      <c r="G18" s="47">
        <v>457.5</v>
      </c>
      <c r="H18" s="47">
        <v>413.1</v>
      </c>
      <c r="I18" s="47">
        <v>413.1</v>
      </c>
      <c r="J18" s="47">
        <v>421.6</v>
      </c>
      <c r="K18" s="47">
        <v>415.7</v>
      </c>
      <c r="L18" s="47">
        <v>389.2</v>
      </c>
      <c r="M18" s="47">
        <v>498.7</v>
      </c>
      <c r="N18" s="47">
        <v>188.4</v>
      </c>
      <c r="O18" s="47">
        <v>53.4</v>
      </c>
      <c r="P18" s="47">
        <v>34.700000000000003</v>
      </c>
      <c r="Q18" s="47">
        <v>35.299999999999997</v>
      </c>
      <c r="R18" s="47">
        <v>0</v>
      </c>
      <c r="S18" s="47">
        <v>248.5</v>
      </c>
      <c r="T18" s="47">
        <v>451.9</v>
      </c>
      <c r="U18" s="47">
        <v>452.1</v>
      </c>
    </row>
    <row r="19" spans="1:21">
      <c r="A19" s="49" t="s">
        <v>39</v>
      </c>
      <c r="B19" s="47">
        <v>1232.9000000000001</v>
      </c>
      <c r="C19" s="47">
        <v>867.1</v>
      </c>
      <c r="D19" s="47">
        <v>763.8</v>
      </c>
      <c r="E19" s="47">
        <v>676.7</v>
      </c>
      <c r="F19" s="47">
        <v>672.4</v>
      </c>
      <c r="G19" s="47">
        <v>702.7</v>
      </c>
      <c r="H19" s="47">
        <v>659.3</v>
      </c>
      <c r="I19" s="47">
        <v>659.3</v>
      </c>
      <c r="J19" s="47">
        <v>668.4</v>
      </c>
      <c r="K19" s="47">
        <v>662.9</v>
      </c>
      <c r="L19" s="47">
        <v>637.1</v>
      </c>
      <c r="M19" s="47">
        <v>706.3</v>
      </c>
      <c r="N19" s="47">
        <v>435.9</v>
      </c>
      <c r="O19" s="47">
        <v>293</v>
      </c>
      <c r="P19" s="47">
        <v>282.8</v>
      </c>
      <c r="Q19" s="47">
        <v>282.5</v>
      </c>
      <c r="R19" s="47">
        <v>248.5</v>
      </c>
      <c r="S19" s="47">
        <v>0</v>
      </c>
      <c r="T19" s="47">
        <v>208.3</v>
      </c>
      <c r="U19" s="47">
        <v>213.5</v>
      </c>
    </row>
    <row r="20" spans="1:21">
      <c r="A20" s="49" t="s">
        <v>40</v>
      </c>
      <c r="B20" s="47">
        <v>1418.4</v>
      </c>
      <c r="C20" s="47">
        <v>1074</v>
      </c>
      <c r="D20" s="47">
        <v>969.8</v>
      </c>
      <c r="E20" s="47">
        <v>883.1</v>
      </c>
      <c r="F20" s="47">
        <v>878.9</v>
      </c>
      <c r="G20" s="47">
        <v>908.8</v>
      </c>
      <c r="H20" s="47">
        <v>864.8</v>
      </c>
      <c r="I20" s="47">
        <v>864.8</v>
      </c>
      <c r="J20" s="47">
        <v>873.4</v>
      </c>
      <c r="K20" s="47">
        <v>867.6</v>
      </c>
      <c r="L20" s="47">
        <v>840.9</v>
      </c>
      <c r="M20" s="47">
        <v>911.9</v>
      </c>
      <c r="N20" s="47">
        <v>640.29999999999995</v>
      </c>
      <c r="O20" s="47">
        <v>499.1</v>
      </c>
      <c r="P20" s="47">
        <v>486.5</v>
      </c>
      <c r="Q20" s="47">
        <v>484.3</v>
      </c>
      <c r="R20" s="47">
        <v>451.9</v>
      </c>
      <c r="S20" s="47">
        <v>208.3</v>
      </c>
      <c r="T20" s="47">
        <v>0</v>
      </c>
      <c r="U20" s="47">
        <v>26.1</v>
      </c>
    </row>
    <row r="21" spans="1:21">
      <c r="A21" s="49" t="s">
        <v>41</v>
      </c>
      <c r="B21" s="47">
        <v>1432.9</v>
      </c>
      <c r="C21" s="47">
        <v>1080.7</v>
      </c>
      <c r="D21" s="47">
        <v>970.5</v>
      </c>
      <c r="E21" s="47">
        <v>884.2</v>
      </c>
      <c r="F21" s="47">
        <v>880.1</v>
      </c>
      <c r="G21" s="47">
        <v>909.6</v>
      </c>
      <c r="H21" s="47">
        <v>865.2</v>
      </c>
      <c r="I21" s="47">
        <v>865.2</v>
      </c>
      <c r="J21" s="47">
        <v>873.5</v>
      </c>
      <c r="K21" s="47">
        <v>867.5</v>
      </c>
      <c r="L21" s="47">
        <v>840.3</v>
      </c>
      <c r="M21" s="47">
        <v>919.5</v>
      </c>
      <c r="N21" s="47">
        <v>640.29999999999995</v>
      </c>
      <c r="O21" s="47">
        <v>500.7</v>
      </c>
      <c r="P21" s="47">
        <v>486.8</v>
      </c>
      <c r="Q21" s="47">
        <v>483.7</v>
      </c>
      <c r="R21" s="47">
        <v>452.1</v>
      </c>
      <c r="S21" s="47">
        <v>213.5</v>
      </c>
      <c r="T21" s="47">
        <v>26.1</v>
      </c>
      <c r="U21" s="47">
        <v>0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0BC78-A3DF-C144-A43B-4B32BD12ABC6}">
  <dimension ref="A2:C22"/>
  <sheetViews>
    <sheetView tabSelected="1" workbookViewId="0">
      <selection activeCell="C31" sqref="C31"/>
    </sheetView>
  </sheetViews>
  <sheetFormatPr baseColWidth="10" defaultRowHeight="18"/>
  <cols>
    <col min="1" max="1" width="20.28515625" style="47" customWidth="1"/>
    <col min="2" max="2" width="24.42578125" style="47" customWidth="1"/>
    <col min="3" max="3" width="23" style="47" customWidth="1"/>
    <col min="4" max="16384" width="10.7109375" style="47"/>
  </cols>
  <sheetData>
    <row r="2" spans="1:3">
      <c r="A2" s="52" t="s">
        <v>130</v>
      </c>
      <c r="B2" s="52" t="s">
        <v>129</v>
      </c>
      <c r="C2" s="52" t="s">
        <v>128</v>
      </c>
    </row>
    <row r="3" spans="1:3">
      <c r="A3" s="47" t="s">
        <v>22</v>
      </c>
      <c r="B3" s="47" t="s">
        <v>127</v>
      </c>
      <c r="C3" s="47" t="s">
        <v>126</v>
      </c>
    </row>
    <row r="4" spans="1:3">
      <c r="A4" s="47" t="s">
        <v>125</v>
      </c>
      <c r="B4" s="47" t="s">
        <v>124</v>
      </c>
      <c r="C4" s="47" t="s">
        <v>123</v>
      </c>
    </row>
    <row r="5" spans="1:3">
      <c r="A5" s="47" t="s">
        <v>24</v>
      </c>
      <c r="B5" s="47" t="s">
        <v>122</v>
      </c>
      <c r="C5" s="47" t="s">
        <v>121</v>
      </c>
    </row>
    <row r="6" spans="1:3">
      <c r="A6" s="47" t="s">
        <v>25</v>
      </c>
      <c r="B6" s="47" t="s">
        <v>120</v>
      </c>
      <c r="C6" s="47" t="s">
        <v>119</v>
      </c>
    </row>
    <row r="7" spans="1:3">
      <c r="A7" s="47" t="s">
        <v>118</v>
      </c>
      <c r="B7" s="47" t="s">
        <v>117</v>
      </c>
      <c r="C7" s="47" t="s">
        <v>116</v>
      </c>
    </row>
    <row r="8" spans="1:3">
      <c r="A8" s="47" t="s">
        <v>10</v>
      </c>
      <c r="B8" s="47" t="s">
        <v>115</v>
      </c>
      <c r="C8" s="47" t="s">
        <v>114</v>
      </c>
    </row>
    <row r="9" spans="1:3">
      <c r="A9" s="47" t="s">
        <v>26</v>
      </c>
      <c r="B9" s="47" t="s">
        <v>113</v>
      </c>
      <c r="C9" s="47" t="s">
        <v>112</v>
      </c>
    </row>
    <row r="10" spans="1:3">
      <c r="A10" s="47" t="s">
        <v>27</v>
      </c>
      <c r="B10" s="47" t="s">
        <v>113</v>
      </c>
      <c r="C10" s="47" t="s">
        <v>112</v>
      </c>
    </row>
    <row r="11" spans="1:3">
      <c r="A11" s="47" t="s">
        <v>28</v>
      </c>
      <c r="B11" s="47" t="s">
        <v>111</v>
      </c>
      <c r="C11" s="47" t="s">
        <v>110</v>
      </c>
    </row>
    <row r="12" spans="1:3">
      <c r="A12" s="47" t="s">
        <v>29</v>
      </c>
      <c r="B12" s="47" t="s">
        <v>109</v>
      </c>
      <c r="C12" s="47" t="s">
        <v>108</v>
      </c>
    </row>
    <row r="13" spans="1:3">
      <c r="A13" s="47" t="s">
        <v>31</v>
      </c>
      <c r="B13" s="47" t="s">
        <v>107</v>
      </c>
      <c r="C13" s="47" t="s">
        <v>106</v>
      </c>
    </row>
    <row r="14" spans="1:3">
      <c r="A14" s="47" t="s">
        <v>32</v>
      </c>
      <c r="B14" s="47" t="s">
        <v>105</v>
      </c>
      <c r="C14" s="47" t="s">
        <v>104</v>
      </c>
    </row>
    <row r="15" spans="1:3">
      <c r="A15" s="47" t="s">
        <v>35</v>
      </c>
      <c r="B15" s="47" t="s">
        <v>103</v>
      </c>
      <c r="C15" s="47" t="s">
        <v>102</v>
      </c>
    </row>
    <row r="16" spans="1:3">
      <c r="A16" s="47" t="s">
        <v>87</v>
      </c>
      <c r="B16" s="47" t="s">
        <v>101</v>
      </c>
      <c r="C16" s="47" t="s">
        <v>100</v>
      </c>
    </row>
    <row r="17" spans="1:3">
      <c r="A17" s="47" t="s">
        <v>36</v>
      </c>
      <c r="B17" s="47" t="s">
        <v>99</v>
      </c>
      <c r="C17" s="47" t="s">
        <v>98</v>
      </c>
    </row>
    <row r="18" spans="1:3">
      <c r="A18" s="47" t="s">
        <v>37</v>
      </c>
      <c r="B18" s="47" t="s">
        <v>97</v>
      </c>
      <c r="C18" s="47" t="s">
        <v>96</v>
      </c>
    </row>
    <row r="19" spans="1:3">
      <c r="A19" s="47" t="s">
        <v>38</v>
      </c>
      <c r="B19" s="47" t="s">
        <v>95</v>
      </c>
      <c r="C19" s="47" t="s">
        <v>94</v>
      </c>
    </row>
    <row r="20" spans="1:3">
      <c r="A20" s="47" t="s">
        <v>39</v>
      </c>
      <c r="B20" s="47" t="s">
        <v>93</v>
      </c>
      <c r="C20" s="47" t="s">
        <v>92</v>
      </c>
    </row>
    <row r="21" spans="1:3">
      <c r="A21" s="47" t="s">
        <v>40</v>
      </c>
      <c r="B21" s="47" t="s">
        <v>91</v>
      </c>
      <c r="C21" s="47" t="s">
        <v>90</v>
      </c>
    </row>
    <row r="22" spans="1:3">
      <c r="A22" s="47" t="s">
        <v>41</v>
      </c>
      <c r="B22" s="47" t="s">
        <v>89</v>
      </c>
      <c r="C22" s="47" t="s">
        <v>88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カレンダー</vt:lpstr>
      <vt:lpstr>疲労計算ver01</vt:lpstr>
      <vt:lpstr>直線距離概算</vt:lpstr>
      <vt:lpstr>スタジアム所在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tomoki kawakubo</dc:creator>
  <cp:lastModifiedBy>tomoki kawakubo</cp:lastModifiedBy>
  <dcterms:created xsi:type="dcterms:W3CDTF">2025-04-26T07:18:49Z</dcterms:created>
  <dcterms:modified xsi:type="dcterms:W3CDTF">2025-04-30T15:14:39Z</dcterms:modified>
</cp:coreProperties>
</file>